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Rol" sheetId="2" r:id="rId5"/>
    <sheet state="visible" name="Module" sheetId="3" r:id="rId6"/>
    <sheet state="visible" name="Module_role" sheetId="4" r:id="rId7"/>
    <sheet state="visible" name="Permissions" sheetId="5" r:id="rId8"/>
    <sheet state="visible" name="Permission_module_rol" sheetId="6" r:id="rId9"/>
    <sheet state="visible" name="Profile" sheetId="7" r:id="rId10"/>
    <sheet state="visible" name="Guard" sheetId="8" r:id="rId11"/>
    <sheet state="visible" name="Owner" sheetId="9" r:id="rId12"/>
    <sheet state="visible" name="Tower" sheetId="10" r:id="rId13"/>
    <sheet state="visible" name="Apartment" sheetId="11" r:id="rId14"/>
    <sheet state="visible" name="Apartment_status" sheetId="12" r:id="rId15"/>
    <sheet state="visible" name="Payment" sheetId="13" r:id="rId16"/>
    <sheet state="visible" name="Payment_Status" sheetId="14" r:id="rId17"/>
    <sheet state="visible" name="Visitor" sheetId="15" r:id="rId18"/>
    <sheet state="visible" name="Survey" sheetId="16" r:id="rId19"/>
    <sheet state="visible" name="Questions" sheetId="17" r:id="rId20"/>
    <sheet state="visible" name="Question_Types" sheetId="18" r:id="rId21"/>
    <sheet state="visible" name="Reservation" sheetId="19" r:id="rId22"/>
    <sheet state="visible" name="Reservation_type" sheetId="20" r:id="rId23"/>
    <sheet state="visible" name="Reservation_status" sheetId="21" r:id="rId24"/>
    <sheet state="visible" name="PQRS" sheetId="22" r:id="rId25"/>
    <sheet state="visible" name="User_status" sheetId="23" r:id="rId26"/>
    <sheet state="visible" name="PQRS_tracking" sheetId="24" r:id="rId27"/>
    <sheet state="visible" name="PQRS_tracking_status" sheetId="25" r:id="rId28"/>
    <sheet state="visible" name="PQRS_category" sheetId="26" r:id="rId29"/>
    <sheet state="visible" name="Notification" sheetId="27" r:id="rId30"/>
    <sheet state="visible" name="Notification_type" sheetId="28" r:id="rId31"/>
    <sheet state="visible" name="Pet" sheetId="29" r:id="rId32"/>
    <sheet state="visible" name="Parking" sheetId="30" r:id="rId33"/>
    <sheet state="visible" name="Vehicle_type" sheetId="31" r:id="rId34"/>
    <sheet state="visible" name="Parking_type" sheetId="32" r:id="rId35"/>
    <sheet state="visible" name="Parking_status" sheetId="33" r:id="rId36"/>
  </sheets>
  <definedNames/>
  <calcPr/>
</workbook>
</file>

<file path=xl/sharedStrings.xml><?xml version="1.0" encoding="utf-8"?>
<sst xmlns="http://schemas.openxmlformats.org/spreadsheetml/2006/main" count="822" uniqueCount="97">
  <si>
    <t>ENTITIES</t>
  </si>
  <si>
    <t>NAME</t>
  </si>
  <si>
    <t>ATTRIBUTE</t>
  </si>
  <si>
    <t>TYPE</t>
  </si>
  <si>
    <t>LONG</t>
  </si>
  <si>
    <t>NULL</t>
  </si>
  <si>
    <t>PREDETERMINED</t>
  </si>
  <si>
    <t>UNIQUE</t>
  </si>
  <si>
    <t>AUTO INCREMENT</t>
  </si>
  <si>
    <t>PRIMARY KEY</t>
  </si>
  <si>
    <t xml:space="preserve">FOREIGN KEY </t>
  </si>
  <si>
    <t>User</t>
  </si>
  <si>
    <t>Id</t>
  </si>
  <si>
    <t>INT</t>
  </si>
  <si>
    <t>name</t>
  </si>
  <si>
    <t>User_name</t>
  </si>
  <si>
    <t>VARCHAR</t>
  </si>
  <si>
    <t>email</t>
  </si>
  <si>
    <t>password</t>
  </si>
  <si>
    <t>User_status</t>
  </si>
  <si>
    <t>FK_ID</t>
  </si>
  <si>
    <t>Rol</t>
  </si>
  <si>
    <t>createdAt</t>
  </si>
  <si>
    <t>TIMESTAMP</t>
  </si>
  <si>
    <t>current_timestamp()</t>
  </si>
  <si>
    <t>updatedAt</t>
  </si>
  <si>
    <t>id</t>
  </si>
  <si>
    <t>description</t>
  </si>
  <si>
    <t>TEXT</t>
  </si>
  <si>
    <t>Module</t>
  </si>
  <si>
    <t>Module_rol</t>
  </si>
  <si>
    <t>Permissions</t>
  </si>
  <si>
    <t>Permissions_module_role</t>
  </si>
  <si>
    <t>Module_role</t>
  </si>
  <si>
    <t>Profile</t>
  </si>
  <si>
    <t>fullName</t>
  </si>
  <si>
    <t>document_type</t>
  </si>
  <si>
    <t>document_number</t>
  </si>
  <si>
    <t>telephone_number</t>
  </si>
  <si>
    <t>photo</t>
  </si>
  <si>
    <t>Guard</t>
  </si>
  <si>
    <t>arl</t>
  </si>
  <si>
    <t>eps</t>
  </si>
  <si>
    <t>shift</t>
  </si>
  <si>
    <t>Owner</t>
  </si>
  <si>
    <t>is_tenant</t>
  </si>
  <si>
    <t>BOOLEAN</t>
  </si>
  <si>
    <t>birth_date</t>
  </si>
  <si>
    <t>DATETIME</t>
  </si>
  <si>
    <t>Tower</t>
  </si>
  <si>
    <t>number</t>
  </si>
  <si>
    <t>Apartment</t>
  </si>
  <si>
    <t>Apartment_status</t>
  </si>
  <si>
    <t>Payment</t>
  </si>
  <si>
    <t>ID_FK</t>
  </si>
  <si>
    <t>total_payment</t>
  </si>
  <si>
    <t>FLOAT</t>
  </si>
  <si>
    <t>Payment_Status</t>
  </si>
  <si>
    <t>date</t>
  </si>
  <si>
    <t>method</t>
  </si>
  <si>
    <t>reference_number</t>
  </si>
  <si>
    <t>Visitor</t>
  </si>
  <si>
    <t>host</t>
  </si>
  <si>
    <t>enter_date</t>
  </si>
  <si>
    <t>Survey</t>
  </si>
  <si>
    <t>Questions</t>
  </si>
  <si>
    <t>result</t>
  </si>
  <si>
    <t>Question_Types</t>
  </si>
  <si>
    <t>answer</t>
  </si>
  <si>
    <t>Reservation</t>
  </si>
  <si>
    <t>Reservation_type</t>
  </si>
  <si>
    <t>start_time</t>
  </si>
  <si>
    <t>end_time</t>
  </si>
  <si>
    <t>Reservation_status</t>
  </si>
  <si>
    <t>PQRS</t>
  </si>
  <si>
    <t>PQRS_category</t>
  </si>
  <si>
    <t>file</t>
  </si>
  <si>
    <t>PQRS_tracking</t>
  </si>
  <si>
    <t>PQRS_tracking_status</t>
  </si>
  <si>
    <t>dateUpdate</t>
  </si>
  <si>
    <t>Notification</t>
  </si>
  <si>
    <t>Notification_type</t>
  </si>
  <si>
    <t xml:space="preserve">FOREING KEY </t>
  </si>
  <si>
    <t>Pet</t>
  </si>
  <si>
    <t>species</t>
  </si>
  <si>
    <t>Breed</t>
  </si>
  <si>
    <t>vaccination_card</t>
  </si>
  <si>
    <t>Photo</t>
  </si>
  <si>
    <t>Parking</t>
  </si>
  <si>
    <t>Parking_status</t>
  </si>
  <si>
    <t>Vehicle_type</t>
  </si>
  <si>
    <t>Parking_type</t>
  </si>
  <si>
    <t>vehicle_plate</t>
  </si>
  <si>
    <t>vehicle_model</t>
  </si>
  <si>
    <t xml:space="preserve"> vehicle_brand</t>
  </si>
  <si>
    <t>vehicle_color</t>
  </si>
  <si>
    <t>vehicle_engineCC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</si>
</sst>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b/>
      <sz val="11.0"/>
      <color theme="0"/>
      <name val="Arial"/>
      <scheme val="minor"/>
    </font>
    <font>
      <color theme="0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4ED192"/>
        <bgColor rgb="FF4ED192"/>
      </patternFill>
    </fill>
    <fill>
      <patternFill patternType="solid">
        <fgColor rgb="FFB4A7D6"/>
        <bgColor rgb="FFB4A7D6"/>
      </patternFill>
    </fill>
    <fill>
      <patternFill patternType="solid">
        <fgColor rgb="FFBDBDBD"/>
        <bgColor rgb="FFBDBDBD"/>
      </patternFill>
    </fill>
    <fill>
      <patternFill patternType="solid">
        <fgColor rgb="FF8F80FF"/>
        <bgColor rgb="FF8F80FF"/>
      </patternFill>
    </fill>
    <fill>
      <patternFill patternType="solid">
        <fgColor rgb="FFCCA34E"/>
        <bgColor rgb="FFCCA34E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20124D"/>
        <bgColor rgb="FF20124D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92286"/>
        <bgColor rgb="FFE92286"/>
      </patternFill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FFD55A"/>
        <bgColor rgb="FFFFD55A"/>
      </patternFill>
    </fill>
    <fill>
      <patternFill patternType="solid">
        <fgColor rgb="FF2974C7"/>
        <bgColor rgb="FF2974C7"/>
      </patternFill>
    </fill>
    <fill>
      <patternFill patternType="solid">
        <fgColor rgb="FFA08F74"/>
        <bgColor rgb="FFA08F74"/>
      </patternFill>
    </fill>
    <fill>
      <patternFill patternType="solid">
        <fgColor theme="9"/>
        <bgColor theme="9"/>
      </patternFill>
    </fill>
    <fill>
      <patternFill patternType="solid">
        <fgColor rgb="FF990000"/>
        <bgColor rgb="FF990000"/>
      </patternFill>
    </fill>
    <fill>
      <patternFill patternType="solid">
        <fgColor rgb="FF7B65B5"/>
        <bgColor rgb="FF7B65B5"/>
      </patternFill>
    </fill>
    <fill>
      <patternFill patternType="solid">
        <fgColor rgb="FF741B47"/>
        <bgColor rgb="FF741B47"/>
      </patternFill>
    </fill>
    <fill>
      <patternFill patternType="solid">
        <fgColor rgb="FFFF7AB2"/>
        <bgColor rgb="FFFF7AB2"/>
      </patternFill>
    </fill>
    <fill>
      <patternFill patternType="solid">
        <fgColor rgb="FF274E13"/>
        <bgColor rgb="FF274E13"/>
      </patternFill>
    </fill>
    <fill>
      <patternFill patternType="solid">
        <fgColor rgb="FFE47E4A"/>
        <bgColor rgb="FFE47E4A"/>
      </patternFill>
    </fill>
    <fill>
      <patternFill patternType="solid">
        <fgColor rgb="FFDDE462"/>
        <bgColor rgb="FFDDE462"/>
      </patternFill>
    </fill>
    <fill>
      <patternFill patternType="solid">
        <fgColor rgb="FFE7BEF5"/>
        <bgColor rgb="FFE7BEF5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readingOrder="0"/>
    </xf>
    <xf borderId="1" fillId="10" fontId="1" numFmtId="0" xfId="0" applyAlignment="1" applyBorder="1" applyFill="1" applyFont="1">
      <alignment horizontal="center" vertical="center"/>
    </xf>
    <xf borderId="1" fillId="10" fontId="1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/>
    </xf>
    <xf borderId="1" fillId="11" fontId="1" numFmtId="0" xfId="0" applyAlignment="1" applyBorder="1" applyFill="1" applyFont="1">
      <alignment horizontal="center" vertical="center"/>
    </xf>
    <xf borderId="1" fillId="11" fontId="1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/>
    </xf>
    <xf borderId="1" fillId="11" fontId="5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12" fontId="6" numFmtId="0" xfId="0" applyAlignment="1" applyBorder="1" applyFill="1" applyFont="1">
      <alignment horizontal="center" vertical="center"/>
    </xf>
    <xf borderId="1" fillId="12" fontId="1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readingOrder="0"/>
    </xf>
    <xf borderId="1" fillId="13" fontId="6" numFmtId="0" xfId="0" applyAlignment="1" applyBorder="1" applyFill="1" applyFont="1">
      <alignment horizontal="center" vertical="center"/>
    </xf>
    <xf borderId="1" fillId="13" fontId="1" numFmtId="0" xfId="0" applyAlignment="1" applyBorder="1" applyFont="1">
      <alignment horizontal="center" vertical="center"/>
    </xf>
    <xf borderId="1" fillId="13" fontId="1" numFmtId="0" xfId="0" applyAlignment="1" applyBorder="1" applyFont="1">
      <alignment horizontal="center" readingOrder="0" vertical="center"/>
    </xf>
    <xf borderId="1" fillId="13" fontId="7" numFmtId="0" xfId="0" applyAlignment="1" applyBorder="1" applyFon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1" fillId="14" fontId="6" numFmtId="0" xfId="0" applyAlignment="1" applyBorder="1" applyFont="1">
      <alignment horizontal="center" vertical="center"/>
    </xf>
    <xf borderId="1" fillId="14" fontId="1" numFmtId="0" xfId="0" applyAlignment="1" applyBorder="1" applyFont="1">
      <alignment horizontal="center" vertical="center"/>
    </xf>
    <xf borderId="1" fillId="14" fontId="1" numFmtId="0" xfId="0" applyAlignment="1" applyBorder="1" applyFont="1">
      <alignment horizontal="center" readingOrder="0" vertical="center"/>
    </xf>
    <xf borderId="0" fillId="14" fontId="3" numFmtId="0" xfId="0" applyFont="1"/>
    <xf borderId="1" fillId="15" fontId="6" numFmtId="0" xfId="0" applyAlignment="1" applyBorder="1" applyFill="1" applyFont="1">
      <alignment horizontal="center" vertical="center"/>
    </xf>
    <xf borderId="1" fillId="15" fontId="1" numFmtId="0" xfId="0" applyAlignment="1" applyBorder="1" applyFont="1">
      <alignment horizontal="center" vertical="center"/>
    </xf>
    <xf borderId="1" fillId="15" fontId="1" numFmtId="0" xfId="0" applyAlignment="1" applyBorder="1" applyFont="1">
      <alignment horizontal="center" readingOrder="0" vertical="center"/>
    </xf>
    <xf borderId="1" fillId="15" fontId="7" numFmtId="0" xfId="0" applyAlignment="1" applyBorder="1" applyFont="1">
      <alignment horizontal="center" readingOrder="0"/>
    </xf>
    <xf borderId="1" fillId="16" fontId="2" numFmtId="0" xfId="0" applyAlignment="1" applyBorder="1" applyFill="1" applyFont="1">
      <alignment horizontal="center" readingOrder="0"/>
    </xf>
    <xf borderId="1" fillId="16" fontId="6" numFmtId="0" xfId="0" applyAlignment="1" applyBorder="1" applyFont="1">
      <alignment horizontal="center" vertical="center"/>
    </xf>
    <xf borderId="1" fillId="16" fontId="1" numFmtId="0" xfId="0" applyAlignment="1" applyBorder="1" applyFont="1">
      <alignment horizontal="center" vertical="center"/>
    </xf>
    <xf borderId="1" fillId="16" fontId="1" numFmtId="0" xfId="0" applyAlignment="1" applyBorder="1" applyFont="1">
      <alignment horizontal="center" readingOrder="0" vertical="center"/>
    </xf>
    <xf borderId="1" fillId="17" fontId="6" numFmtId="0" xfId="0" applyAlignment="1" applyBorder="1" applyFill="1" applyFont="1">
      <alignment horizontal="center" vertical="center"/>
    </xf>
    <xf borderId="1" fillId="17" fontId="1" numFmtId="0" xfId="0" applyAlignment="1" applyBorder="1" applyFont="1">
      <alignment horizontal="center" vertical="center"/>
    </xf>
    <xf borderId="1" fillId="17" fontId="1" numFmtId="0" xfId="0" applyAlignment="1" applyBorder="1" applyFont="1">
      <alignment horizontal="center" readingOrder="0" vertical="center"/>
    </xf>
    <xf borderId="1" fillId="17" fontId="2" numFmtId="0" xfId="0" applyAlignment="1" applyBorder="1" applyFont="1">
      <alignment horizontal="center" readingOrder="0"/>
    </xf>
    <xf borderId="1" fillId="18" fontId="6" numFmtId="0" xfId="0" applyAlignment="1" applyBorder="1" applyFill="1" applyFont="1">
      <alignment horizontal="center" vertical="center"/>
    </xf>
    <xf borderId="1" fillId="18" fontId="1" numFmtId="0" xfId="0" applyAlignment="1" applyBorder="1" applyFont="1">
      <alignment horizontal="center" vertical="center"/>
    </xf>
    <xf borderId="1" fillId="18" fontId="1" numFmtId="0" xfId="0" applyAlignment="1" applyBorder="1" applyFont="1">
      <alignment horizontal="center" readingOrder="0" vertical="center"/>
    </xf>
    <xf borderId="1" fillId="18" fontId="7" numFmtId="0" xfId="0" applyAlignment="1" applyBorder="1" applyFont="1">
      <alignment horizontal="center" readingOrder="0"/>
    </xf>
    <xf borderId="1" fillId="19" fontId="2" numFmtId="0" xfId="0" applyAlignment="1" applyBorder="1" applyFill="1" applyFont="1">
      <alignment horizontal="center" readingOrder="0"/>
    </xf>
    <xf borderId="1" fillId="18" fontId="5" numFmtId="0" xfId="0" applyAlignment="1" applyBorder="1" applyFont="1">
      <alignment horizontal="center" vertical="bottom"/>
    </xf>
    <xf borderId="1" fillId="19" fontId="1" numFmtId="0" xfId="0" applyAlignment="1" applyBorder="1" applyFont="1">
      <alignment horizontal="center" readingOrder="0" vertical="center"/>
    </xf>
    <xf borderId="1" fillId="19" fontId="1" numFmtId="0" xfId="0" applyAlignment="1" applyBorder="1" applyFont="1">
      <alignment horizontal="center" vertical="center"/>
    </xf>
    <xf borderId="0" fillId="19" fontId="3" numFmtId="0" xfId="0" applyFont="1"/>
    <xf borderId="1" fillId="20" fontId="2" numFmtId="0" xfId="0" applyAlignment="1" applyBorder="1" applyFill="1" applyFont="1">
      <alignment horizontal="center" readingOrder="0"/>
    </xf>
    <xf borderId="1" fillId="20" fontId="1" numFmtId="0" xfId="0" applyAlignment="1" applyBorder="1" applyFont="1">
      <alignment horizontal="center" readingOrder="0" vertical="center"/>
    </xf>
    <xf borderId="1" fillId="20" fontId="1" numFmtId="0" xfId="0" applyAlignment="1" applyBorder="1" applyFont="1">
      <alignment horizontal="center" vertical="center"/>
    </xf>
    <xf borderId="0" fillId="20" fontId="3" numFmtId="0" xfId="0" applyFont="1"/>
    <xf borderId="1" fillId="21" fontId="6" numFmtId="0" xfId="0" applyAlignment="1" applyBorder="1" applyFill="1" applyFont="1">
      <alignment horizontal="center" readingOrder="0" vertical="center"/>
    </xf>
    <xf borderId="1" fillId="21" fontId="1" numFmtId="0" xfId="0" applyAlignment="1" applyBorder="1" applyFont="1">
      <alignment horizontal="center" vertical="center"/>
    </xf>
    <xf borderId="1" fillId="21" fontId="1" numFmtId="0" xfId="0" applyAlignment="1" applyBorder="1" applyFont="1">
      <alignment horizontal="center" readingOrder="0" vertical="center"/>
    </xf>
    <xf borderId="1" fillId="21" fontId="2" numFmtId="0" xfId="0" applyAlignment="1" applyBorder="1" applyFont="1">
      <alignment horizontal="center" readingOrder="0"/>
    </xf>
    <xf borderId="1" fillId="22" fontId="2" numFmtId="0" xfId="0" applyAlignment="1" applyBorder="1" applyFill="1" applyFont="1">
      <alignment horizontal="center" readingOrder="0"/>
    </xf>
    <xf borderId="1" fillId="23" fontId="2" numFmtId="0" xfId="0" applyAlignment="1" applyBorder="1" applyFill="1" applyFont="1">
      <alignment horizontal="center" readingOrder="0"/>
    </xf>
    <xf borderId="1" fillId="22" fontId="6" numFmtId="0" xfId="0" applyAlignment="1" applyBorder="1" applyFont="1">
      <alignment horizontal="center" readingOrder="0" vertical="center"/>
    </xf>
    <xf borderId="1" fillId="22" fontId="1" numFmtId="0" xfId="0" applyAlignment="1" applyBorder="1" applyFont="1">
      <alignment horizontal="center" vertical="center"/>
    </xf>
    <xf borderId="1" fillId="22" fontId="1" numFmtId="0" xfId="0" applyAlignment="1" applyBorder="1" applyFont="1">
      <alignment horizontal="center" readingOrder="0" vertical="center"/>
    </xf>
    <xf borderId="1" fillId="23" fontId="6" numFmtId="0" xfId="0" applyAlignment="1" applyBorder="1" applyFont="1">
      <alignment horizontal="center" readingOrder="0" vertical="center"/>
    </xf>
    <xf borderId="1" fillId="23" fontId="1" numFmtId="0" xfId="0" applyAlignment="1" applyBorder="1" applyFont="1">
      <alignment horizontal="center" vertical="center"/>
    </xf>
    <xf borderId="1" fillId="23" fontId="1" numFmtId="0" xfId="0" applyAlignment="1" applyBorder="1" applyFont="1">
      <alignment horizontal="center" readingOrder="0" vertical="center"/>
    </xf>
    <xf borderId="1" fillId="24" fontId="6" numFmtId="0" xfId="0" applyAlignment="1" applyBorder="1" applyFill="1" applyFont="1">
      <alignment horizontal="center" readingOrder="0" vertical="center"/>
    </xf>
    <xf borderId="1" fillId="24" fontId="1" numFmtId="0" xfId="0" applyAlignment="1" applyBorder="1" applyFont="1">
      <alignment horizontal="center" vertical="center"/>
    </xf>
    <xf borderId="1" fillId="24" fontId="1" numFmtId="0" xfId="0" applyAlignment="1" applyBorder="1" applyFont="1">
      <alignment horizontal="center" readingOrder="0" vertical="center"/>
    </xf>
    <xf borderId="1" fillId="24" fontId="2" numFmtId="0" xfId="0" applyAlignment="1" applyBorder="1" applyFont="1">
      <alignment horizontal="center" readingOrder="0"/>
    </xf>
    <xf borderId="1" fillId="25" fontId="2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/>
    </xf>
    <xf borderId="1" fillId="26" fontId="6" numFmtId="0" xfId="0" applyAlignment="1" applyBorder="1" applyFill="1" applyFont="1">
      <alignment horizontal="center" readingOrder="0" vertical="center"/>
    </xf>
    <xf borderId="1" fillId="26" fontId="1" numFmtId="0" xfId="0" applyAlignment="1" applyBorder="1" applyFont="1">
      <alignment horizontal="center" vertical="center"/>
    </xf>
    <xf borderId="1" fillId="26" fontId="1" numFmtId="0" xfId="0" applyAlignment="1" applyBorder="1" applyFont="1">
      <alignment horizontal="center" readingOrder="0" vertical="center"/>
    </xf>
    <xf borderId="1" fillId="26" fontId="2" numFmtId="0" xfId="0" applyAlignment="1" applyBorder="1" applyFont="1">
      <alignment horizontal="center" readingOrder="0"/>
    </xf>
    <xf borderId="1" fillId="27" fontId="2" numFmtId="0" xfId="0" applyAlignment="1" applyBorder="1" applyFill="1" applyFont="1">
      <alignment horizontal="center" readingOrder="0"/>
    </xf>
    <xf borderId="1" fillId="27" fontId="6" numFmtId="0" xfId="0" applyAlignment="1" applyBorder="1" applyFont="1">
      <alignment horizontal="center" readingOrder="0" vertical="center"/>
    </xf>
    <xf borderId="1" fillId="27" fontId="1" numFmtId="0" xfId="0" applyAlignment="1" applyBorder="1" applyFont="1">
      <alignment horizontal="center" vertical="center"/>
    </xf>
    <xf borderId="1" fillId="27" fontId="1" numFmtId="0" xfId="0" applyAlignment="1" applyBorder="1" applyFont="1">
      <alignment horizontal="center" readingOrder="0" vertical="center"/>
    </xf>
    <xf borderId="1" fillId="25" fontId="1" numFmtId="0" xfId="0" applyAlignment="1" applyBorder="1" applyFont="1">
      <alignment horizontal="center" readingOrder="0" vertical="center"/>
    </xf>
    <xf borderId="1" fillId="25" fontId="1" numFmtId="0" xfId="0" applyAlignment="1" applyBorder="1" applyFont="1">
      <alignment horizontal="center" vertical="center"/>
    </xf>
    <xf borderId="1" fillId="28" fontId="6" numFmtId="0" xfId="0" applyAlignment="1" applyBorder="1" applyFill="1" applyFont="1">
      <alignment horizontal="center" readingOrder="0" vertical="center"/>
    </xf>
    <xf borderId="1" fillId="28" fontId="1" numFmtId="0" xfId="0" applyAlignment="1" applyBorder="1" applyFont="1">
      <alignment horizontal="center" vertical="center"/>
    </xf>
    <xf borderId="1" fillId="28" fontId="1" numFmtId="0" xfId="0" applyAlignment="1" applyBorder="1" applyFont="1">
      <alignment horizontal="center" readingOrder="0" vertical="center"/>
    </xf>
    <xf borderId="0" fillId="28" fontId="1" numFmtId="0" xfId="0" applyAlignment="1" applyFont="1">
      <alignment horizontal="center" vertical="center"/>
    </xf>
    <xf borderId="1" fillId="28" fontId="2" numFmtId="0" xfId="0" applyAlignment="1" applyBorder="1" applyFont="1">
      <alignment horizontal="center" readingOrder="0"/>
    </xf>
    <xf borderId="1" fillId="29" fontId="2" numFmtId="0" xfId="0" applyAlignment="1" applyBorder="1" applyFill="1" applyFont="1">
      <alignment horizontal="center" readingOrder="0"/>
    </xf>
    <xf borderId="1" fillId="29" fontId="6" numFmtId="0" xfId="0" applyAlignment="1" applyBorder="1" applyFont="1">
      <alignment horizontal="center" vertical="center"/>
    </xf>
    <xf borderId="1" fillId="29" fontId="1" numFmtId="0" xfId="0" applyAlignment="1" applyBorder="1" applyFont="1">
      <alignment horizontal="center" vertical="center"/>
    </xf>
    <xf borderId="1" fillId="30" fontId="6" numFmtId="0" xfId="0" applyAlignment="1" applyBorder="1" applyFill="1" applyFont="1">
      <alignment horizontal="center" vertical="center"/>
    </xf>
    <xf borderId="1" fillId="30" fontId="1" numFmtId="0" xfId="0" applyAlignment="1" applyBorder="1" applyFont="1">
      <alignment horizontal="center" vertical="center"/>
    </xf>
    <xf borderId="1" fillId="30" fontId="1" numFmtId="0" xfId="0" applyAlignment="1" applyBorder="1" applyFont="1">
      <alignment horizontal="center" readingOrder="0" vertical="center"/>
    </xf>
    <xf borderId="1" fillId="3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vertical="bottom"/>
    </xf>
    <xf borderId="1" fillId="31" fontId="6" numFmtId="0" xfId="0" applyAlignment="1" applyBorder="1" applyFill="1" applyFont="1">
      <alignment horizontal="center" vertical="center"/>
    </xf>
    <xf borderId="1" fillId="31" fontId="1" numFmtId="0" xfId="0" applyAlignment="1" applyBorder="1" applyFont="1">
      <alignment horizontal="center" vertical="center"/>
    </xf>
    <xf borderId="1" fillId="31" fontId="2" numFmtId="0" xfId="0" applyAlignment="1" applyBorder="1" applyFont="1">
      <alignment horizontal="center" readingOrder="0"/>
    </xf>
    <xf borderId="1" fillId="32" fontId="2" numFmtId="0" xfId="0" applyAlignment="1" applyBorder="1" applyFill="1" applyFont="1">
      <alignment horizontal="center" readingOrder="0"/>
    </xf>
    <xf borderId="1" fillId="33" fontId="2" numFmtId="0" xfId="0" applyAlignment="1" applyBorder="1" applyFill="1" applyFont="1">
      <alignment horizontal="center" readingOrder="0"/>
    </xf>
    <xf borderId="1" fillId="34" fontId="2" numFmtId="0" xfId="0" applyAlignment="1" applyBorder="1" applyFill="1" applyFont="1">
      <alignment horizontal="center" readingOrder="0"/>
    </xf>
    <xf borderId="1" fillId="33" fontId="6" numFmtId="0" xfId="0" applyAlignment="1" applyBorder="1" applyFont="1">
      <alignment horizontal="center" vertical="center"/>
    </xf>
    <xf borderId="1" fillId="33" fontId="1" numFmtId="0" xfId="0" applyAlignment="1" applyBorder="1" applyFont="1">
      <alignment horizontal="center" vertical="center"/>
    </xf>
    <xf borderId="1" fillId="34" fontId="6" numFmtId="0" xfId="0" applyAlignment="1" applyBorder="1" applyFont="1">
      <alignment horizontal="center" vertical="center"/>
    </xf>
    <xf borderId="1" fillId="34" fontId="1" numFmtId="0" xfId="0" applyAlignment="1" applyBorder="1" applyFont="1">
      <alignment horizontal="center" vertical="center"/>
    </xf>
    <xf borderId="1" fillId="32" fontId="6" numFmtId="0" xfId="0" applyAlignment="1" applyBorder="1" applyFont="1">
      <alignment horizontal="center" vertical="center"/>
    </xf>
    <xf borderId="1" fillId="32" fontId="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3" pivot="0" name="Notification-style">
      <tableStyleElement dxfId="1" type="headerRow"/>
      <tableStyleElement dxfId="2" type="firstRowStripe"/>
      <tableStyleElement dxfId="3" type="secondRowStripe"/>
    </tableStyle>
    <tableStyle count="3" pivot="0" name="Notification_type-style">
      <tableStyleElement dxfId="1" type="headerRow"/>
      <tableStyleElement dxfId="2" type="firstRowStripe"/>
      <tableStyleElement dxfId="3" type="secondRowStripe"/>
    </tableStyle>
    <tableStyle count="3" pivot="0" name="Pet-style">
      <tableStyleElement dxfId="1" type="headerRow"/>
      <tableStyleElement dxfId="2" type="firstRowStripe"/>
      <tableStyleElement dxfId="3" type="secondRowStripe"/>
    </tableStyle>
    <tableStyle count="3" pivot="0" name="Parking-style">
      <tableStyleElement dxfId="1" type="headerRow"/>
      <tableStyleElement dxfId="2" type="firstRowStripe"/>
      <tableStyleElement dxfId="3" type="secondRowStripe"/>
    </tableStyle>
    <tableStyle count="3" pivot="0" name="Vehicle_type-style">
      <tableStyleElement dxfId="1" type="headerRow"/>
      <tableStyleElement dxfId="2" type="firstRowStripe"/>
      <tableStyleElement dxfId="3" type="secondRowStripe"/>
    </tableStyle>
    <tableStyle count="3" pivot="0" name="Parking_type-style">
      <tableStyleElement dxfId="1" type="headerRow"/>
      <tableStyleElement dxfId="2" type="firstRowStripe"/>
      <tableStyleElement dxfId="3" type="secondRowStripe"/>
    </tableStyle>
    <tableStyle count="3" pivot="0" name="Parking_statu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O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Notific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K1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Notification_typ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K1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K1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ark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K1" displayName="Table_5" name="Table_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Vehicle_typ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K1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arking_typ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K1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arking_statu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1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3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4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5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6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4" t="s">
        <v>12</v>
      </c>
      <c r="C2" s="5" t="str">
        <f>CONCATENATE(A2,"_",B2)</f>
        <v>User_Id</v>
      </c>
      <c r="D2" s="6" t="s">
        <v>13</v>
      </c>
      <c r="E2" s="4">
        <v>11.0</v>
      </c>
      <c r="F2" s="4" t="b">
        <v>1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3" t="s">
        <v>11</v>
      </c>
      <c r="B3" s="8" t="s">
        <v>14</v>
      </c>
      <c r="C3" s="8" t="s">
        <v>15</v>
      </c>
      <c r="D3" s="9" t="s">
        <v>16</v>
      </c>
      <c r="E3" s="8">
        <v>30.0</v>
      </c>
      <c r="F3" s="10" t="b">
        <v>0</v>
      </c>
      <c r="G3" s="7"/>
      <c r="H3" s="8" t="b">
        <v>1</v>
      </c>
      <c r="I3" s="10" t="b">
        <v>0</v>
      </c>
      <c r="J3" s="10" t="b">
        <v>0</v>
      </c>
      <c r="K3" s="10" t="b">
        <v>0</v>
      </c>
    </row>
    <row r="4">
      <c r="A4" s="11" t="s">
        <v>11</v>
      </c>
      <c r="B4" s="8" t="s">
        <v>17</v>
      </c>
      <c r="C4" s="10" t="str">
        <f t="shared" ref="C4:C9" si="1">CONCATENATE(A4,"_",B4)</f>
        <v>User_email</v>
      </c>
      <c r="D4" s="9" t="s">
        <v>16</v>
      </c>
      <c r="E4" s="10">
        <v>30.0</v>
      </c>
      <c r="F4" s="10" t="b">
        <v>0</v>
      </c>
      <c r="G4" s="7"/>
      <c r="H4" s="8" t="b">
        <v>1</v>
      </c>
      <c r="I4" s="10" t="b">
        <v>0</v>
      </c>
      <c r="J4" s="10" t="b">
        <v>0</v>
      </c>
      <c r="K4" s="10" t="b">
        <v>0</v>
      </c>
    </row>
    <row r="5">
      <c r="A5" s="11" t="s">
        <v>11</v>
      </c>
      <c r="B5" s="8" t="s">
        <v>18</v>
      </c>
      <c r="C5" s="10" t="str">
        <f t="shared" si="1"/>
        <v>User_password</v>
      </c>
      <c r="D5" s="9" t="s">
        <v>16</v>
      </c>
      <c r="E5" s="8">
        <v>255.0</v>
      </c>
      <c r="F5" s="10" t="b">
        <v>0</v>
      </c>
      <c r="G5" s="7"/>
      <c r="H5" s="10" t="b">
        <v>0</v>
      </c>
      <c r="I5" s="10" t="b">
        <v>0</v>
      </c>
      <c r="J5" s="10" t="b">
        <v>0</v>
      </c>
      <c r="K5" s="10" t="b">
        <v>0</v>
      </c>
    </row>
    <row r="6">
      <c r="A6" s="12" t="s">
        <v>19</v>
      </c>
      <c r="B6" s="8" t="s">
        <v>20</v>
      </c>
      <c r="C6" s="10" t="str">
        <f t="shared" si="1"/>
        <v>User_status_FK_ID</v>
      </c>
      <c r="D6" s="9" t="s">
        <v>13</v>
      </c>
      <c r="E6" s="8">
        <v>11.0</v>
      </c>
      <c r="F6" s="10" t="b">
        <v>0</v>
      </c>
      <c r="G6" s="7"/>
      <c r="H6" s="8" t="b">
        <v>1</v>
      </c>
      <c r="I6" s="10" t="b">
        <v>0</v>
      </c>
      <c r="J6" s="10" t="b">
        <v>0</v>
      </c>
      <c r="K6" s="8" t="b">
        <v>1</v>
      </c>
    </row>
    <row r="7">
      <c r="A7" s="13" t="s">
        <v>21</v>
      </c>
      <c r="B7" s="8" t="s">
        <v>20</v>
      </c>
      <c r="C7" s="5" t="str">
        <f t="shared" si="1"/>
        <v>Rol_FK_ID</v>
      </c>
      <c r="D7" s="6" t="s">
        <v>13</v>
      </c>
      <c r="E7" s="4">
        <v>11.0</v>
      </c>
      <c r="F7" s="4" t="b">
        <v>0</v>
      </c>
      <c r="G7" s="7"/>
      <c r="H7" s="4" t="b">
        <v>1</v>
      </c>
      <c r="I7" s="4" t="b">
        <v>0</v>
      </c>
      <c r="J7" s="4" t="b">
        <v>0</v>
      </c>
      <c r="K7" s="4" t="b">
        <v>1</v>
      </c>
    </row>
    <row r="8">
      <c r="A8" s="3" t="s">
        <v>11</v>
      </c>
      <c r="B8" s="4" t="s">
        <v>22</v>
      </c>
      <c r="C8" s="5" t="str">
        <f t="shared" si="1"/>
        <v>User_createdAt</v>
      </c>
      <c r="D8" s="9" t="s">
        <v>23</v>
      </c>
      <c r="E8" s="4"/>
      <c r="F8" s="4" t="b">
        <v>0</v>
      </c>
      <c r="G8" s="14" t="s">
        <v>24</v>
      </c>
      <c r="H8" s="4" t="b">
        <v>0</v>
      </c>
      <c r="I8" s="4" t="b">
        <v>0</v>
      </c>
      <c r="J8" s="4" t="b">
        <v>0</v>
      </c>
      <c r="K8" s="4" t="b">
        <v>0</v>
      </c>
    </row>
    <row r="9">
      <c r="A9" s="11" t="s">
        <v>11</v>
      </c>
      <c r="B9" s="8" t="s">
        <v>25</v>
      </c>
      <c r="C9" s="5" t="str">
        <f t="shared" si="1"/>
        <v>User_updatedAt</v>
      </c>
      <c r="D9" s="9" t="s">
        <v>23</v>
      </c>
      <c r="E9" s="8"/>
      <c r="F9" s="8" t="b">
        <v>0</v>
      </c>
      <c r="G9" s="14" t="s">
        <v>24</v>
      </c>
      <c r="H9" s="8" t="b">
        <v>0</v>
      </c>
      <c r="I9" s="10" t="b">
        <v>0</v>
      </c>
      <c r="J9" s="10" t="b">
        <v>0</v>
      </c>
      <c r="K9" s="10" t="b">
        <v>0</v>
      </c>
    </row>
  </sheetData>
  <dataValidations>
    <dataValidation type="list" allowBlank="1" showErrorMessage="1" sqref="D2:D9">
      <formula1>"INT,VARCHAR,DATE,TIMESTAMP,DOUBLE,DATETIME"</formula1>
    </dataValidation>
    <dataValidation type="list" allowBlank="1" showErrorMessage="1" sqref="G2:G9">
      <formula1>"NONE,NULL,current_timestamp()"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9.0"/>
    <col customWidth="1" min="3" max="3" width="11.25"/>
    <col customWidth="1" min="4" max="4" width="13.8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</row>
    <row r="2">
      <c r="A2" s="13" t="s">
        <v>21</v>
      </c>
      <c r="B2" s="4" t="s">
        <v>26</v>
      </c>
      <c r="C2" s="5" t="str">
        <f t="shared" ref="C2:C6" si="1">CONCATENATE(A2,"_",B2)</f>
        <v>Rol_id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13" t="s">
        <v>21</v>
      </c>
      <c r="B3" s="4" t="s">
        <v>14</v>
      </c>
      <c r="C3" s="5" t="str">
        <f t="shared" si="1"/>
        <v>Rol_name</v>
      </c>
      <c r="D3" s="9" t="s">
        <v>16</v>
      </c>
      <c r="E3" s="4">
        <v>30.0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13" t="s">
        <v>21</v>
      </c>
      <c r="B4" s="4" t="s">
        <v>27</v>
      </c>
      <c r="C4" s="5" t="str">
        <f t="shared" si="1"/>
        <v>Rol_description</v>
      </c>
      <c r="D4" s="9" t="s">
        <v>28</v>
      </c>
      <c r="E4" s="4">
        <v>30.0</v>
      </c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13" t="s">
        <v>21</v>
      </c>
      <c r="B5" s="4" t="s">
        <v>22</v>
      </c>
      <c r="C5" s="5" t="str">
        <f t="shared" si="1"/>
        <v>Rol_createdAt</v>
      </c>
      <c r="D5" s="9" t="s">
        <v>23</v>
      </c>
      <c r="E5" s="4"/>
      <c r="F5" s="4" t="b">
        <v>0</v>
      </c>
      <c r="G5" s="14" t="s">
        <v>24</v>
      </c>
      <c r="H5" s="4" t="b">
        <v>0</v>
      </c>
      <c r="I5" s="4" t="b">
        <v>0</v>
      </c>
      <c r="J5" s="4" t="b">
        <v>0</v>
      </c>
      <c r="K5" s="4" t="b">
        <v>0</v>
      </c>
    </row>
    <row r="6">
      <c r="A6" s="13" t="s">
        <v>21</v>
      </c>
      <c r="B6" s="8" t="s">
        <v>25</v>
      </c>
      <c r="C6" s="5" t="str">
        <f t="shared" si="1"/>
        <v>Rol_updatedAt</v>
      </c>
      <c r="D6" s="9" t="s">
        <v>23</v>
      </c>
      <c r="E6" s="8"/>
      <c r="F6" s="8" t="b">
        <v>1</v>
      </c>
      <c r="G6" s="14" t="s">
        <v>24</v>
      </c>
      <c r="H6" s="8" t="b">
        <v>0</v>
      </c>
      <c r="I6" s="10" t="b">
        <v>0</v>
      </c>
      <c r="J6" s="10" t="b">
        <v>0</v>
      </c>
      <c r="K6" s="10" t="b">
        <v>0</v>
      </c>
    </row>
  </sheetData>
  <dataValidations>
    <dataValidation type="list" allowBlank="1" showErrorMessage="1" sqref="D2:D4">
      <formula1>"INT,VARCHAR,DATE,TIMESTAMP,DOUBLE,DATETIME,TEXT"</formula1>
    </dataValidation>
    <dataValidation type="list" allowBlank="1" showErrorMessage="1" sqref="D5:D6">
      <formula1>"INT,VARCHAR,DATE,TIMESTAMP,DOUBLE,DATETIME"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DBD"/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3" width="19.0"/>
    <col customWidth="1" min="4" max="4" width="21.0"/>
    <col customWidth="1" min="7" max="7" width="18.13"/>
    <col customWidth="1" min="9" max="9" width="17.5"/>
    <col customWidth="1" min="10" max="10" width="13.63"/>
    <col customWidth="1" min="11" max="11" width="14.13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8" t="s">
        <v>10</v>
      </c>
    </row>
    <row r="2">
      <c r="A2" s="19" t="s">
        <v>29</v>
      </c>
      <c r="B2" s="4" t="s">
        <v>26</v>
      </c>
      <c r="C2" s="5" t="str">
        <f t="shared" ref="C2:C6" si="1">CONCATENATE(A2,"_",B2)</f>
        <v>Module_id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19" t="s">
        <v>29</v>
      </c>
      <c r="B3" s="4" t="s">
        <v>14</v>
      </c>
      <c r="C3" s="5" t="str">
        <f t="shared" si="1"/>
        <v>Module_name</v>
      </c>
      <c r="D3" s="9" t="s">
        <v>16</v>
      </c>
      <c r="E3" s="4">
        <v>30.0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19" t="s">
        <v>29</v>
      </c>
      <c r="B4" s="4" t="s">
        <v>27</v>
      </c>
      <c r="C4" s="5" t="str">
        <f t="shared" si="1"/>
        <v>Module_description</v>
      </c>
      <c r="D4" s="9" t="s">
        <v>28</v>
      </c>
      <c r="E4" s="4"/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19" t="s">
        <v>29</v>
      </c>
      <c r="B5" s="4" t="s">
        <v>22</v>
      </c>
      <c r="C5" s="5" t="str">
        <f t="shared" si="1"/>
        <v>Module_createdAt</v>
      </c>
      <c r="D5" s="9" t="s">
        <v>23</v>
      </c>
      <c r="E5" s="4"/>
      <c r="F5" s="4" t="b">
        <v>0</v>
      </c>
      <c r="G5" s="14" t="s">
        <v>24</v>
      </c>
      <c r="H5" s="4" t="b">
        <v>0</v>
      </c>
      <c r="I5" s="4" t="b">
        <v>0</v>
      </c>
      <c r="J5" s="4" t="b">
        <v>0</v>
      </c>
      <c r="K5" s="4" t="b">
        <v>0</v>
      </c>
    </row>
    <row r="6">
      <c r="A6" s="19" t="s">
        <v>29</v>
      </c>
      <c r="B6" s="8" t="s">
        <v>25</v>
      </c>
      <c r="C6" s="5" t="str">
        <f t="shared" si="1"/>
        <v>Module_updatedAt</v>
      </c>
      <c r="D6" s="9" t="s">
        <v>23</v>
      </c>
      <c r="E6" s="8"/>
      <c r="F6" s="8" t="b">
        <v>1</v>
      </c>
      <c r="G6" s="14" t="s">
        <v>24</v>
      </c>
      <c r="H6" s="8" t="b">
        <v>0</v>
      </c>
      <c r="I6" s="10" t="b">
        <v>0</v>
      </c>
      <c r="J6" s="10" t="b">
        <v>0</v>
      </c>
      <c r="K6" s="10" t="b">
        <v>0</v>
      </c>
    </row>
  </sheetData>
  <dataValidations>
    <dataValidation type="list" allowBlank="1" showErrorMessage="1" sqref="D4">
      <formula1>"INT,VARCHAR,DATE,TIMESTAMP,DOUBLE,DATETIME,TEXT"</formula1>
    </dataValidation>
    <dataValidation type="list" allowBlank="1" showErrorMessage="1" sqref="D2:D3 D5:D6">
      <formula1>"INT,VARCHAR,DATE,TIMESTAMP,DOUBLE,DATETIME"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F8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6.38"/>
    <col customWidth="1" min="3" max="3" width="11.25"/>
    <col customWidth="1" min="4" max="4" width="13.8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1" t="s">
        <v>10</v>
      </c>
    </row>
    <row r="2">
      <c r="A2" s="22" t="s">
        <v>30</v>
      </c>
      <c r="B2" s="4" t="s">
        <v>26</v>
      </c>
      <c r="C2" s="5" t="str">
        <f t="shared" ref="C2:C4" si="1">CONCATENATE(A2,"_",B2)</f>
        <v>Module_rol_id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13" t="s">
        <v>21</v>
      </c>
      <c r="B3" s="8" t="s">
        <v>20</v>
      </c>
      <c r="C3" s="5" t="str">
        <f t="shared" si="1"/>
        <v>Rol_FK_ID</v>
      </c>
      <c r="D3" s="9" t="s">
        <v>13</v>
      </c>
      <c r="E3" s="4">
        <v>11.0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1</v>
      </c>
    </row>
    <row r="4">
      <c r="A4" s="19" t="s">
        <v>29</v>
      </c>
      <c r="B4" s="8" t="s">
        <v>20</v>
      </c>
      <c r="C4" s="5" t="str">
        <f t="shared" si="1"/>
        <v>Module_FK_ID</v>
      </c>
      <c r="D4" s="6" t="s">
        <v>13</v>
      </c>
      <c r="E4" s="4">
        <v>11.0</v>
      </c>
      <c r="F4" s="4" t="b">
        <v>0</v>
      </c>
      <c r="G4" s="7"/>
      <c r="H4" s="4" t="b">
        <v>1</v>
      </c>
      <c r="I4" s="4" t="b">
        <v>0</v>
      </c>
      <c r="J4" s="4" t="b">
        <v>0</v>
      </c>
      <c r="K4" s="4" t="b">
        <v>1</v>
      </c>
    </row>
  </sheetData>
  <dataValidations>
    <dataValidation type="list" allowBlank="1" showErrorMessage="1" sqref="D2:D4">
      <formula1>"INT,VARCHAR,DATE,TIMESTAMP,DOUBLE,DATETIME"</formula1>
    </dataValidation>
    <dataValidation type="list" allowBlank="1" showErrorMessage="1" sqref="G2:G4">
      <formula1>"NONE,NULL,current_timestamp()"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A34E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3" max="3" width="19.0"/>
    <col customWidth="1" min="4" max="4" width="21.25"/>
    <col customWidth="1" min="7" max="7" width="16.88"/>
    <col customWidth="1" min="8" max="8" width="8.13"/>
    <col customWidth="1" min="9" max="9" width="17.5"/>
    <col customWidth="1" min="10" max="10" width="13.63"/>
    <col customWidth="1" min="11" max="11" width="14.13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4" t="s">
        <v>10</v>
      </c>
    </row>
    <row r="2">
      <c r="A2" s="25" t="s">
        <v>31</v>
      </c>
      <c r="B2" s="4" t="s">
        <v>26</v>
      </c>
      <c r="C2" s="5" t="str">
        <f t="shared" ref="C2:C6" si="1">CONCATENATE(A2,"_",B2)</f>
        <v>Permissions_id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25" t="s">
        <v>31</v>
      </c>
      <c r="B3" s="4" t="s">
        <v>14</v>
      </c>
      <c r="C3" s="5" t="str">
        <f t="shared" si="1"/>
        <v>Permissions_name</v>
      </c>
      <c r="D3" s="9" t="s">
        <v>16</v>
      </c>
      <c r="E3" s="4">
        <v>30.0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25" t="s">
        <v>31</v>
      </c>
      <c r="B4" s="4" t="s">
        <v>27</v>
      </c>
      <c r="C4" s="5" t="str">
        <f t="shared" si="1"/>
        <v>Permissions_description</v>
      </c>
      <c r="D4" s="9" t="s">
        <v>28</v>
      </c>
      <c r="E4" s="4">
        <v>30.0</v>
      </c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25" t="s">
        <v>31</v>
      </c>
      <c r="B5" s="4" t="s">
        <v>22</v>
      </c>
      <c r="C5" s="5" t="str">
        <f t="shared" si="1"/>
        <v>Permissions_createdAt</v>
      </c>
      <c r="D5" s="9" t="s">
        <v>23</v>
      </c>
      <c r="E5" s="4"/>
      <c r="F5" s="4" t="b">
        <v>0</v>
      </c>
      <c r="G5" s="14" t="s">
        <v>24</v>
      </c>
      <c r="H5" s="4" t="b">
        <v>0</v>
      </c>
      <c r="I5" s="4" t="b">
        <v>0</v>
      </c>
      <c r="J5" s="4" t="b">
        <v>0</v>
      </c>
      <c r="K5" s="4" t="b">
        <v>0</v>
      </c>
    </row>
    <row r="6">
      <c r="A6" s="25" t="s">
        <v>31</v>
      </c>
      <c r="B6" s="8" t="s">
        <v>25</v>
      </c>
      <c r="C6" s="5" t="str">
        <f t="shared" si="1"/>
        <v>Permissions_updatedAt</v>
      </c>
      <c r="D6" s="9" t="s">
        <v>23</v>
      </c>
      <c r="E6" s="8"/>
      <c r="F6" s="8" t="b">
        <v>1</v>
      </c>
      <c r="G6" s="14" t="s">
        <v>24</v>
      </c>
      <c r="H6" s="8" t="b">
        <v>0</v>
      </c>
      <c r="I6" s="10" t="b">
        <v>0</v>
      </c>
      <c r="J6" s="10" t="b">
        <v>0</v>
      </c>
      <c r="K6" s="10" t="b">
        <v>0</v>
      </c>
    </row>
  </sheetData>
  <dataValidations>
    <dataValidation type="list" allowBlank="1" showErrorMessage="1" sqref="D2:D4">
      <formula1>"INT,VARCHAR,DATE,TIMESTAMP,DOUBLE,DATETIME,TEXT"</formula1>
    </dataValidation>
    <dataValidation type="list" allowBlank="1" showErrorMessage="1" sqref="D5:D6">
      <formula1>"INT,VARCHAR,DATE,TIMESTAMP,DOUBLE,DATETIME"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27.38"/>
    <col customWidth="1" min="4" max="4" width="21.25"/>
    <col customWidth="1" min="7" max="7" width="16.88"/>
    <col customWidth="1" min="8" max="8" width="8.13"/>
    <col customWidth="1" min="9" max="9" width="17.5"/>
    <col customWidth="1" min="10" max="10" width="13.63"/>
    <col customWidth="1" min="11" max="11" width="14.13"/>
  </cols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 t="s">
        <v>10</v>
      </c>
    </row>
    <row r="2">
      <c r="A2" s="28" t="s">
        <v>32</v>
      </c>
      <c r="B2" s="4" t="s">
        <v>26</v>
      </c>
      <c r="C2" s="5" t="str">
        <f t="shared" ref="C2:C4" si="1">CONCATENATE(A2,"_",B2)</f>
        <v>Permissions_module_role_id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22" t="s">
        <v>33</v>
      </c>
      <c r="B3" s="4" t="s">
        <v>20</v>
      </c>
      <c r="C3" s="5" t="str">
        <f t="shared" si="1"/>
        <v>Module_role_FK_ID</v>
      </c>
      <c r="D3" s="9" t="s">
        <v>13</v>
      </c>
      <c r="E3" s="4">
        <v>11.0</v>
      </c>
      <c r="F3" s="4" t="b">
        <v>0</v>
      </c>
      <c r="G3" s="7"/>
      <c r="H3" s="4" t="b">
        <v>0</v>
      </c>
      <c r="I3" s="4" t="b">
        <v>0</v>
      </c>
      <c r="J3" s="4" t="b">
        <v>0</v>
      </c>
      <c r="K3" s="4" t="b">
        <v>1</v>
      </c>
    </row>
    <row r="4">
      <c r="A4" s="25" t="s">
        <v>31</v>
      </c>
      <c r="B4" s="4" t="s">
        <v>20</v>
      </c>
      <c r="C4" s="5" t="str">
        <f t="shared" si="1"/>
        <v>Permissions_FK_ID</v>
      </c>
      <c r="D4" s="6" t="s">
        <v>13</v>
      </c>
      <c r="E4" s="4">
        <v>11.0</v>
      </c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1</v>
      </c>
    </row>
  </sheetData>
  <dataValidations>
    <dataValidation type="list" allowBlank="1" showErrorMessage="1" sqref="D2:D4">
      <formula1>"INT,VARCHAR,DATE,TIMESTAMP,DOUBLE,DATETIME,TEXT"</formula1>
    </dataValidation>
    <dataValidation type="list" allowBlank="1" showErrorMessage="1" sqref="G2:G4">
      <formula1>"NONE,NULL,current_timestamp()"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0.5"/>
    <col customWidth="1" min="4" max="4" width="13.8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30" t="s">
        <v>10</v>
      </c>
    </row>
    <row r="2">
      <c r="A2" s="31" t="s">
        <v>34</v>
      </c>
      <c r="B2" s="4" t="s">
        <v>12</v>
      </c>
      <c r="C2" s="5" t="str">
        <f t="shared" ref="C2:C8" si="1">CONCATENATE(A2,"_",B2)</f>
        <v>Profile_Id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31" t="s">
        <v>34</v>
      </c>
      <c r="B3" s="4" t="s">
        <v>35</v>
      </c>
      <c r="C3" s="5" t="str">
        <f t="shared" si="1"/>
        <v>Profile_fullName</v>
      </c>
      <c r="D3" s="9" t="s">
        <v>16</v>
      </c>
      <c r="E3" s="4">
        <v>100.0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3" t="s">
        <v>11</v>
      </c>
      <c r="B4" s="4" t="s">
        <v>20</v>
      </c>
      <c r="C4" s="5" t="str">
        <f t="shared" si="1"/>
        <v>User_FK_ID</v>
      </c>
      <c r="D4" s="6" t="s">
        <v>13</v>
      </c>
      <c r="E4" s="4">
        <v>11.0</v>
      </c>
      <c r="F4" s="4" t="b">
        <v>0</v>
      </c>
      <c r="G4" s="7"/>
      <c r="H4" s="4" t="b">
        <v>1</v>
      </c>
      <c r="I4" s="4" t="b">
        <v>0</v>
      </c>
      <c r="J4" s="4" t="b">
        <v>0</v>
      </c>
      <c r="K4" s="4" t="b">
        <v>1</v>
      </c>
    </row>
    <row r="5">
      <c r="A5" s="31" t="s">
        <v>34</v>
      </c>
      <c r="B5" s="4" t="s">
        <v>36</v>
      </c>
      <c r="C5" s="5" t="str">
        <f t="shared" si="1"/>
        <v>Profile_document_type</v>
      </c>
      <c r="D5" s="9" t="s">
        <v>16</v>
      </c>
      <c r="E5" s="4">
        <v>20.0</v>
      </c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0</v>
      </c>
    </row>
    <row r="6">
      <c r="A6" s="31" t="s">
        <v>34</v>
      </c>
      <c r="B6" s="4" t="s">
        <v>37</v>
      </c>
      <c r="C6" s="5" t="str">
        <f t="shared" si="1"/>
        <v>Profile_document_number</v>
      </c>
      <c r="D6" s="9" t="s">
        <v>16</v>
      </c>
      <c r="E6" s="4">
        <v>30.0</v>
      </c>
      <c r="F6" s="4" t="b">
        <v>0</v>
      </c>
      <c r="G6" s="7"/>
      <c r="H6" s="4" t="b">
        <v>1</v>
      </c>
      <c r="I6" s="4" t="b">
        <v>0</v>
      </c>
      <c r="J6" s="4" t="b">
        <v>0</v>
      </c>
      <c r="K6" s="4" t="b">
        <v>0</v>
      </c>
    </row>
    <row r="7">
      <c r="A7" s="31" t="s">
        <v>34</v>
      </c>
      <c r="B7" s="4" t="s">
        <v>38</v>
      </c>
      <c r="C7" s="5" t="str">
        <f t="shared" si="1"/>
        <v>Profile_telephone_number</v>
      </c>
      <c r="D7" s="9" t="s">
        <v>16</v>
      </c>
      <c r="E7" s="4">
        <v>12.0</v>
      </c>
      <c r="F7" s="4" t="b">
        <v>0</v>
      </c>
      <c r="G7" s="7"/>
      <c r="H7" s="4" t="b">
        <v>0</v>
      </c>
      <c r="I7" s="4" t="b">
        <v>0</v>
      </c>
      <c r="J7" s="4" t="b">
        <v>0</v>
      </c>
      <c r="K7" s="4" t="b">
        <v>0</v>
      </c>
    </row>
    <row r="8">
      <c r="A8" s="31" t="s">
        <v>34</v>
      </c>
      <c r="B8" s="4" t="s">
        <v>39</v>
      </c>
      <c r="C8" s="5" t="str">
        <f t="shared" si="1"/>
        <v>Profile_photo</v>
      </c>
      <c r="D8" s="9" t="s">
        <v>16</v>
      </c>
      <c r="E8" s="4">
        <v>255.0</v>
      </c>
      <c r="F8" s="4" t="b">
        <v>1</v>
      </c>
      <c r="G8" s="14" t="s">
        <v>5</v>
      </c>
      <c r="H8" s="4" t="b">
        <v>0</v>
      </c>
      <c r="I8" s="4" t="b">
        <v>0</v>
      </c>
      <c r="J8" s="4" t="b">
        <v>0</v>
      </c>
      <c r="K8" s="4" t="b">
        <v>0</v>
      </c>
    </row>
  </sheetData>
  <dataValidations>
    <dataValidation type="list" allowBlank="1" showErrorMessage="1" sqref="D2:D8">
      <formula1>"INT,VARCHAR,DATE,TIMESTAMP,DOUBLE,DATETIME"</formula1>
    </dataValidation>
    <dataValidation type="list" allowBlank="1" showErrorMessage="1" sqref="G2:G8">
      <formula1>"NONE,NULL,current_timestamp()"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0.13"/>
    <col customWidth="1" min="4" max="4" width="13.8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3" t="s">
        <v>10</v>
      </c>
    </row>
    <row r="2">
      <c r="A2" s="34" t="s">
        <v>40</v>
      </c>
      <c r="B2" s="4" t="s">
        <v>26</v>
      </c>
      <c r="C2" s="5" t="str">
        <f t="shared" ref="C2:C8" si="1">CONCATENATE(A2,"_",B2)</f>
        <v>Guard_id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28" t="s">
        <v>11</v>
      </c>
      <c r="B3" s="4" t="s">
        <v>20</v>
      </c>
      <c r="C3" s="5" t="str">
        <f t="shared" si="1"/>
        <v>User_FK_ID</v>
      </c>
      <c r="D3" s="6" t="s">
        <v>13</v>
      </c>
      <c r="E3" s="4">
        <v>11.0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1</v>
      </c>
    </row>
    <row r="4">
      <c r="A4" s="34" t="s">
        <v>40</v>
      </c>
      <c r="B4" s="4" t="s">
        <v>41</v>
      </c>
      <c r="C4" s="5" t="str">
        <f t="shared" si="1"/>
        <v>Guard_arl</v>
      </c>
      <c r="D4" s="9" t="s">
        <v>16</v>
      </c>
      <c r="E4" s="4">
        <v>30.0</v>
      </c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34" t="s">
        <v>40</v>
      </c>
      <c r="B5" s="4" t="s">
        <v>42</v>
      </c>
      <c r="C5" s="5" t="str">
        <f t="shared" si="1"/>
        <v>Guard_eps</v>
      </c>
      <c r="D5" s="9" t="s">
        <v>16</v>
      </c>
      <c r="E5" s="4">
        <v>30.0</v>
      </c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0</v>
      </c>
    </row>
    <row r="6">
      <c r="A6" s="34" t="s">
        <v>40</v>
      </c>
      <c r="B6" s="4" t="s">
        <v>43</v>
      </c>
      <c r="C6" s="5" t="str">
        <f t="shared" si="1"/>
        <v>Guard_shift</v>
      </c>
      <c r="D6" s="9" t="s">
        <v>16</v>
      </c>
      <c r="E6" s="4">
        <v>30.0</v>
      </c>
      <c r="F6" s="4" t="b">
        <v>0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  <row r="7">
      <c r="A7" s="34" t="s">
        <v>40</v>
      </c>
      <c r="B7" s="4" t="s">
        <v>22</v>
      </c>
      <c r="C7" s="5" t="str">
        <f t="shared" si="1"/>
        <v>Guard_createdAt</v>
      </c>
      <c r="D7" s="9" t="s">
        <v>23</v>
      </c>
      <c r="E7" s="4"/>
      <c r="F7" s="4" t="b">
        <v>0</v>
      </c>
      <c r="G7" s="14" t="s">
        <v>24</v>
      </c>
      <c r="H7" s="4" t="b">
        <v>0</v>
      </c>
      <c r="I7" s="4" t="b">
        <v>0</v>
      </c>
      <c r="J7" s="4" t="b">
        <v>0</v>
      </c>
      <c r="K7" s="4" t="b">
        <v>0</v>
      </c>
    </row>
    <row r="8">
      <c r="A8" s="34" t="s">
        <v>40</v>
      </c>
      <c r="B8" s="8" t="s">
        <v>25</v>
      </c>
      <c r="C8" s="5" t="str">
        <f t="shared" si="1"/>
        <v>Guard_updatedAt</v>
      </c>
      <c r="D8" s="9" t="s">
        <v>23</v>
      </c>
      <c r="E8" s="8"/>
      <c r="F8" s="8" t="b">
        <v>1</v>
      </c>
      <c r="G8" s="14" t="s">
        <v>24</v>
      </c>
      <c r="H8" s="8" t="b">
        <v>0</v>
      </c>
      <c r="I8" s="10" t="b">
        <v>0</v>
      </c>
      <c r="J8" s="10" t="b">
        <v>0</v>
      </c>
      <c r="K8" s="10" t="b">
        <v>0</v>
      </c>
    </row>
  </sheetData>
  <dataValidations>
    <dataValidation type="list" allowBlank="1" showErrorMessage="1" sqref="D2:D8">
      <formula1>"INT,VARCHAR,DATE,TIMESTAMP,DOUBLE,DATETIME"</formula1>
    </dataValidation>
    <dataValidation type="list" allowBlank="1" showErrorMessage="1" sqref="G2:G8">
      <formula1>"NONE,NULL,current_timestamp()"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0.13"/>
    <col customWidth="1" min="4" max="4" width="15.5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6" t="s">
        <v>10</v>
      </c>
    </row>
    <row r="2">
      <c r="A2" s="37" t="s">
        <v>44</v>
      </c>
      <c r="B2" s="4" t="s">
        <v>26</v>
      </c>
      <c r="C2" s="5" t="str">
        <f t="shared" ref="C2:C7" si="1">CONCATENATE(A2,"_",B2)</f>
        <v>Owner_id</v>
      </c>
      <c r="D2" s="6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28" t="s">
        <v>11</v>
      </c>
      <c r="B3" s="4" t="s">
        <v>20</v>
      </c>
      <c r="C3" s="5" t="str">
        <f t="shared" si="1"/>
        <v>User_FK_ID</v>
      </c>
      <c r="D3" s="6" t="s">
        <v>13</v>
      </c>
      <c r="E3" s="4">
        <v>11.0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1</v>
      </c>
    </row>
    <row r="4">
      <c r="A4" s="38" t="s">
        <v>44</v>
      </c>
      <c r="B4" s="8" t="s">
        <v>45</v>
      </c>
      <c r="C4" s="10" t="str">
        <f t="shared" si="1"/>
        <v>Owner_is_tenant</v>
      </c>
      <c r="D4" s="9" t="s">
        <v>46</v>
      </c>
      <c r="E4" s="39"/>
      <c r="F4" s="39" t="b">
        <v>0</v>
      </c>
      <c r="G4" s="7"/>
      <c r="H4" s="39" t="b">
        <v>0</v>
      </c>
      <c r="I4" s="39" t="b">
        <v>0</v>
      </c>
      <c r="J4" s="39" t="b">
        <v>0</v>
      </c>
      <c r="K4" s="39" t="b">
        <v>0</v>
      </c>
      <c r="L4" s="40"/>
      <c r="M4" s="40"/>
      <c r="N4" s="40"/>
    </row>
    <row r="5">
      <c r="A5" s="37" t="s">
        <v>44</v>
      </c>
      <c r="B5" s="4" t="s">
        <v>47</v>
      </c>
      <c r="C5" s="5" t="str">
        <f t="shared" si="1"/>
        <v>Owner_birth_date</v>
      </c>
      <c r="D5" s="9" t="s">
        <v>48</v>
      </c>
      <c r="E5" s="4"/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0</v>
      </c>
    </row>
    <row r="6">
      <c r="A6" s="38" t="s">
        <v>44</v>
      </c>
      <c r="B6" s="4" t="s">
        <v>22</v>
      </c>
      <c r="C6" s="5" t="str">
        <f t="shared" si="1"/>
        <v>Owner_createdAt</v>
      </c>
      <c r="D6" s="9" t="s">
        <v>23</v>
      </c>
      <c r="E6" s="4"/>
      <c r="F6" s="4" t="b">
        <v>0</v>
      </c>
      <c r="G6" s="14" t="s">
        <v>24</v>
      </c>
      <c r="H6" s="4" t="b">
        <v>0</v>
      </c>
      <c r="I6" s="4" t="b">
        <v>0</v>
      </c>
      <c r="J6" s="4" t="b">
        <v>0</v>
      </c>
      <c r="K6" s="4" t="b">
        <v>0</v>
      </c>
    </row>
    <row r="7">
      <c r="A7" s="37" t="s">
        <v>44</v>
      </c>
      <c r="B7" s="8" t="s">
        <v>25</v>
      </c>
      <c r="C7" s="5" t="str">
        <f t="shared" si="1"/>
        <v>Owner_updatedAt</v>
      </c>
      <c r="D7" s="9" t="s">
        <v>23</v>
      </c>
      <c r="E7" s="8"/>
      <c r="F7" s="8" t="b">
        <v>1</v>
      </c>
      <c r="G7" s="14" t="s">
        <v>24</v>
      </c>
      <c r="H7" s="8" t="b">
        <v>0</v>
      </c>
      <c r="I7" s="10" t="b">
        <v>0</v>
      </c>
      <c r="J7" s="10" t="b">
        <v>0</v>
      </c>
      <c r="K7" s="10" t="b">
        <v>0</v>
      </c>
    </row>
  </sheetData>
  <dataValidations>
    <dataValidation type="list" allowBlank="1" showErrorMessage="1" sqref="D2:D7">
      <formula1>"INT,VARCHAR,DATE,TIMESTAMP,DOUBLE,DATETIME,BOOLEAN"</formula1>
    </dataValidation>
    <dataValidation type="list" allowBlank="1" showErrorMessage="1" sqref="G2:G7">
      <formula1>"NONE,NULL,current_timestamp()"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6.63"/>
    <col customWidth="1" min="3" max="3" width="12.0"/>
    <col customWidth="1" min="4" max="4" width="13.88"/>
    <col customWidth="1" min="5" max="5" width="6.25"/>
    <col customWidth="1" min="6" max="6" width="5.88"/>
    <col customWidth="1" min="7" max="7" width="16.88"/>
    <col customWidth="1" min="8" max="8" width="8.13"/>
    <col customWidth="1" min="9" max="9" width="17.5"/>
    <col customWidth="1" min="10" max="10" width="13.63"/>
    <col customWidth="1" min="11" max="11" width="14.13"/>
  </cols>
  <sheetData>
    <row r="1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3" t="s">
        <v>10</v>
      </c>
    </row>
    <row r="2">
      <c r="A2" s="44" t="s">
        <v>49</v>
      </c>
      <c r="B2" s="4" t="s">
        <v>26</v>
      </c>
      <c r="C2" s="5" t="str">
        <f t="shared" ref="C2:C3" si="1">CONCATENATE(A2,"_",B2)</f>
        <v>Tower_id</v>
      </c>
      <c r="D2" s="6" t="s">
        <v>13</v>
      </c>
      <c r="E2" s="4">
        <v>11.0</v>
      </c>
      <c r="F2" s="4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44" t="s">
        <v>49</v>
      </c>
      <c r="B3" s="4" t="s">
        <v>50</v>
      </c>
      <c r="C3" s="5" t="str">
        <f t="shared" si="1"/>
        <v>Tower_number</v>
      </c>
      <c r="D3" s="9" t="s">
        <v>16</v>
      </c>
      <c r="E3" s="4">
        <v>4.0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.38"/>
    <col customWidth="1" min="3" max="3" width="21.75"/>
    <col customWidth="1" min="4" max="4" width="14.0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45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7" t="s">
        <v>10</v>
      </c>
    </row>
    <row r="2">
      <c r="A2" s="48" t="s">
        <v>51</v>
      </c>
      <c r="B2" s="4" t="s">
        <v>26</v>
      </c>
      <c r="C2" s="5" t="str">
        <f t="shared" ref="C2:C6" si="1">CONCATENATE(A2,"_",B2)</f>
        <v>Apartment_id</v>
      </c>
      <c r="D2" s="9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48" t="s">
        <v>51</v>
      </c>
      <c r="B3" s="4" t="s">
        <v>50</v>
      </c>
      <c r="C3" s="5" t="str">
        <f t="shared" si="1"/>
        <v>Apartment_number</v>
      </c>
      <c r="D3" s="9" t="s">
        <v>16</v>
      </c>
      <c r="E3" s="4">
        <v>4.0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49" t="s">
        <v>52</v>
      </c>
      <c r="B4" s="4" t="s">
        <v>20</v>
      </c>
      <c r="C4" s="5" t="str">
        <f t="shared" si="1"/>
        <v>Apartment_status_FK_ID</v>
      </c>
      <c r="D4" s="9" t="s">
        <v>13</v>
      </c>
      <c r="E4" s="4">
        <v>11.0</v>
      </c>
      <c r="F4" s="4" t="b">
        <v>0</v>
      </c>
      <c r="G4" s="7"/>
      <c r="H4" s="4" t="b">
        <v>1</v>
      </c>
      <c r="I4" s="4" t="b">
        <v>1</v>
      </c>
      <c r="J4" s="4" t="b">
        <v>1</v>
      </c>
      <c r="K4" s="4" t="b">
        <v>0</v>
      </c>
    </row>
    <row r="5">
      <c r="A5" s="44" t="s">
        <v>49</v>
      </c>
      <c r="B5" s="4" t="s">
        <v>20</v>
      </c>
      <c r="C5" s="5" t="str">
        <f t="shared" si="1"/>
        <v>Tower_FK_ID</v>
      </c>
      <c r="D5" s="9" t="s">
        <v>13</v>
      </c>
      <c r="E5" s="4">
        <v>11.0</v>
      </c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1</v>
      </c>
    </row>
    <row r="6">
      <c r="A6" s="37" t="s">
        <v>44</v>
      </c>
      <c r="B6" s="4" t="s">
        <v>20</v>
      </c>
      <c r="C6" s="5" t="str">
        <f t="shared" si="1"/>
        <v>Owner_FK_ID</v>
      </c>
      <c r="D6" s="9" t="s">
        <v>13</v>
      </c>
      <c r="E6" s="4">
        <v>11.0</v>
      </c>
      <c r="F6" s="4" t="b">
        <v>0</v>
      </c>
      <c r="G6" s="7"/>
      <c r="H6" s="4" t="b">
        <v>0</v>
      </c>
      <c r="I6" s="4" t="b">
        <v>0</v>
      </c>
      <c r="J6" s="4" t="b">
        <v>0</v>
      </c>
      <c r="K6" s="4" t="b">
        <v>1</v>
      </c>
    </row>
  </sheetData>
  <dataValidations>
    <dataValidation type="list" allowBlank="1" showErrorMessage="1" sqref="D2:D6">
      <formula1>"INT,VARCHAR,DATE,TIMESTAMP,DOUBLE,DATETIME,BOOLEAN"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0.38"/>
    <col customWidth="1" min="3" max="3" width="21.75"/>
    <col customWidth="1" min="4" max="4" width="14.0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2" t="s">
        <v>10</v>
      </c>
      <c r="L1" s="53"/>
      <c r="M1" s="53"/>
      <c r="N1" s="53"/>
      <c r="O1" s="53"/>
    </row>
    <row r="2">
      <c r="A2" s="49" t="s">
        <v>52</v>
      </c>
      <c r="B2" s="4" t="s">
        <v>26</v>
      </c>
      <c r="C2" s="5" t="str">
        <f t="shared" ref="C2:C3" si="1">CONCATENATE(A2,"_",B2)</f>
        <v>Apartment_status_id</v>
      </c>
      <c r="D2" s="9" t="s">
        <v>13</v>
      </c>
      <c r="E2" s="4">
        <v>11.0</v>
      </c>
      <c r="F2" s="4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49" t="s">
        <v>52</v>
      </c>
      <c r="B3" s="4" t="s">
        <v>14</v>
      </c>
      <c r="C3" s="5" t="str">
        <f t="shared" si="1"/>
        <v>Apartment_status_name</v>
      </c>
      <c r="D3" s="9" t="s">
        <v>16</v>
      </c>
      <c r="E3" s="4">
        <v>4.0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"INT,VARCHAR,DATE,TIMESTAMP,DOUBLE,DATETIME,BOOLEAN"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3.5"/>
    <col customWidth="1" min="4" max="4" width="15.5"/>
    <col customWidth="1" min="7" max="7" width="16.88"/>
    <col customWidth="1" min="9" max="9" width="17.5"/>
    <col customWidth="1" min="10" max="10" width="13.63"/>
  </cols>
  <sheetData>
    <row r="1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6" t="s">
        <v>10</v>
      </c>
    </row>
    <row r="2">
      <c r="A2" s="57" t="s">
        <v>53</v>
      </c>
      <c r="B2" s="4" t="s">
        <v>26</v>
      </c>
      <c r="C2" s="5" t="str">
        <f t="shared" ref="C2:C8" si="1">CONCATENATE(A2,"_",B2)</f>
        <v>Payment_id</v>
      </c>
      <c r="D2" s="9" t="s">
        <v>13</v>
      </c>
      <c r="E2" s="4">
        <v>11.0</v>
      </c>
      <c r="F2" s="4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37" t="s">
        <v>44</v>
      </c>
      <c r="B3" s="4" t="s">
        <v>54</v>
      </c>
      <c r="C3" s="5" t="str">
        <f t="shared" si="1"/>
        <v>Owner_ID_FK</v>
      </c>
      <c r="D3" s="9" t="s">
        <v>13</v>
      </c>
      <c r="E3" s="4">
        <v>11.0</v>
      </c>
      <c r="F3" s="4" t="b">
        <v>0</v>
      </c>
      <c r="G3" s="7"/>
      <c r="H3" s="4" t="b">
        <v>0</v>
      </c>
      <c r="I3" s="4" t="b">
        <v>0</v>
      </c>
      <c r="J3" s="4" t="b">
        <v>0</v>
      </c>
      <c r="K3" s="4" t="b">
        <v>1</v>
      </c>
    </row>
    <row r="4">
      <c r="A4" s="57" t="s">
        <v>53</v>
      </c>
      <c r="B4" s="4" t="s">
        <v>55</v>
      </c>
      <c r="C4" s="5" t="str">
        <f t="shared" si="1"/>
        <v>Payment_total_payment</v>
      </c>
      <c r="D4" s="9" t="s">
        <v>56</v>
      </c>
      <c r="E4" s="4"/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58" t="s">
        <v>57</v>
      </c>
      <c r="B5" s="4" t="s">
        <v>54</v>
      </c>
      <c r="C5" s="5" t="str">
        <f t="shared" si="1"/>
        <v>Payment_Status_ID_FK</v>
      </c>
      <c r="D5" s="9" t="s">
        <v>13</v>
      </c>
      <c r="E5" s="4">
        <v>11.0</v>
      </c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1</v>
      </c>
    </row>
    <row r="6">
      <c r="A6" s="57" t="s">
        <v>53</v>
      </c>
      <c r="B6" s="4" t="s">
        <v>58</v>
      </c>
      <c r="C6" s="5" t="str">
        <f t="shared" si="1"/>
        <v>Payment_date</v>
      </c>
      <c r="D6" s="9" t="s">
        <v>23</v>
      </c>
      <c r="E6" s="4"/>
      <c r="F6" s="4" t="b">
        <v>0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  <row r="7">
      <c r="A7" s="57" t="s">
        <v>53</v>
      </c>
      <c r="B7" s="4" t="s">
        <v>59</v>
      </c>
      <c r="C7" s="5" t="str">
        <f t="shared" si="1"/>
        <v>Payment_method</v>
      </c>
      <c r="D7" s="9" t="s">
        <v>16</v>
      </c>
      <c r="E7" s="4">
        <v>30.0</v>
      </c>
      <c r="F7" s="4" t="b">
        <v>0</v>
      </c>
      <c r="G7" s="7"/>
      <c r="H7" s="4" t="b">
        <v>0</v>
      </c>
      <c r="I7" s="4" t="b">
        <v>0</v>
      </c>
      <c r="J7" s="4" t="b">
        <v>0</v>
      </c>
      <c r="K7" s="4" t="b">
        <v>0</v>
      </c>
    </row>
    <row r="8">
      <c r="A8" s="57" t="s">
        <v>53</v>
      </c>
      <c r="B8" s="4" t="s">
        <v>60</v>
      </c>
      <c r="C8" s="5" t="str">
        <f t="shared" si="1"/>
        <v>Payment_reference_number</v>
      </c>
      <c r="D8" s="9" t="s">
        <v>16</v>
      </c>
      <c r="E8" s="4">
        <v>50.0</v>
      </c>
      <c r="F8" s="4" t="b">
        <v>0</v>
      </c>
      <c r="G8" s="7"/>
      <c r="H8" s="4" t="b">
        <v>0</v>
      </c>
      <c r="I8" s="4" t="b">
        <v>0</v>
      </c>
      <c r="J8" s="4" t="b">
        <v>0</v>
      </c>
      <c r="K8" s="4" t="b">
        <v>0</v>
      </c>
    </row>
  </sheetData>
  <dataValidations>
    <dataValidation type="list" allowBlank="1" showErrorMessage="1" sqref="D2:D8">
      <formula1>"INT,VARCHAR,DATE,TIMESTAMP,DOUBLE,DATETIME,BOOLEAN,FLOAT"</formula1>
    </dataValidation>
    <dataValidation type="list" allowBlank="1" showErrorMessage="1" sqref="G2:G8">
      <formula1>"NONE,NULL,current_timestamp()"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20.25"/>
    <col customWidth="1" min="4" max="4" width="15.38"/>
    <col customWidth="1" min="7" max="7" width="16.88"/>
    <col customWidth="1" min="9" max="9" width="17.5"/>
    <col customWidth="1" min="10" max="10" width="13.63"/>
  </cols>
  <sheetData>
    <row r="1">
      <c r="A1" s="5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1" t="s">
        <v>10</v>
      </c>
    </row>
    <row r="2">
      <c r="A2" s="58" t="s">
        <v>57</v>
      </c>
      <c r="B2" s="4" t="s">
        <v>26</v>
      </c>
      <c r="C2" s="5" t="str">
        <f t="shared" ref="C2:C3" si="1">CONCATENATE(A2,"_",B2)</f>
        <v>Payment_Status_id</v>
      </c>
      <c r="D2" s="9" t="s">
        <v>13</v>
      </c>
      <c r="E2" s="4">
        <v>11.0</v>
      </c>
      <c r="F2" s="4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58" t="s">
        <v>57</v>
      </c>
      <c r="B3" s="4" t="s">
        <v>14</v>
      </c>
      <c r="C3" s="5" t="str">
        <f t="shared" si="1"/>
        <v>Payment_Status_name</v>
      </c>
      <c r="D3" s="9" t="s">
        <v>16</v>
      </c>
      <c r="E3" s="4">
        <v>30.0</v>
      </c>
      <c r="F3" s="4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"INT,VARCHAR,DATE,TIMESTAMP,DOUBLE,DATETIME,BOOLEAN"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2286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0.25"/>
    <col customWidth="1" min="4" max="4" width="15.38"/>
    <col customWidth="1" min="7" max="7" width="16.88"/>
    <col customWidth="1" min="9" max="9" width="17.5"/>
    <col customWidth="1" min="10" max="10" width="13.63"/>
  </cols>
  <sheetData>
    <row r="1">
      <c r="A1" s="62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4" t="s">
        <v>10</v>
      </c>
    </row>
    <row r="2">
      <c r="A2" s="65" t="s">
        <v>61</v>
      </c>
      <c r="B2" s="4" t="s">
        <v>26</v>
      </c>
      <c r="C2" s="5" t="str">
        <f t="shared" ref="C2:C6" si="1">CONCATENATE(A2,"_",B2)</f>
        <v>Visitor_id</v>
      </c>
      <c r="D2" s="9" t="s">
        <v>13</v>
      </c>
      <c r="E2" s="4">
        <v>11.0</v>
      </c>
      <c r="F2" s="4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65" t="s">
        <v>61</v>
      </c>
      <c r="B3" s="4" t="s">
        <v>14</v>
      </c>
      <c r="C3" s="5" t="str">
        <f t="shared" si="1"/>
        <v>Visitor_name</v>
      </c>
      <c r="D3" s="9" t="s">
        <v>16</v>
      </c>
      <c r="E3" s="4">
        <v>30.0</v>
      </c>
      <c r="F3" s="4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  <row r="4">
      <c r="A4" s="65" t="s">
        <v>61</v>
      </c>
      <c r="B4" s="4" t="s">
        <v>37</v>
      </c>
      <c r="C4" s="5" t="str">
        <f t="shared" si="1"/>
        <v>Visitor_document_number</v>
      </c>
      <c r="D4" s="9" t="s">
        <v>16</v>
      </c>
      <c r="E4" s="4">
        <v>15.0</v>
      </c>
      <c r="F4" s="4" t="b">
        <v>0</v>
      </c>
      <c r="G4" s="7"/>
      <c r="H4" s="4" t="b">
        <v>1</v>
      </c>
      <c r="I4" s="4" t="b">
        <v>0</v>
      </c>
      <c r="J4" s="4" t="b">
        <v>0</v>
      </c>
      <c r="K4" s="4" t="b">
        <v>0</v>
      </c>
    </row>
    <row r="5">
      <c r="A5" s="65" t="s">
        <v>61</v>
      </c>
      <c r="B5" s="4" t="s">
        <v>62</v>
      </c>
      <c r="C5" s="5" t="str">
        <f t="shared" si="1"/>
        <v>Visitor_host</v>
      </c>
      <c r="D5" s="9" t="s">
        <v>16</v>
      </c>
      <c r="E5" s="4">
        <v>30.0</v>
      </c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0</v>
      </c>
    </row>
    <row r="6">
      <c r="A6" s="65" t="s">
        <v>61</v>
      </c>
      <c r="B6" s="4" t="s">
        <v>63</v>
      </c>
      <c r="C6" s="5" t="str">
        <f t="shared" si="1"/>
        <v>Visitor_enter_date</v>
      </c>
      <c r="D6" s="9" t="s">
        <v>23</v>
      </c>
      <c r="E6" s="4"/>
      <c r="F6" s="4" t="b">
        <v>0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</sheetData>
  <dataValidations>
    <dataValidation type="list" allowBlank="1" showErrorMessage="1" sqref="D2:D6">
      <formula1>"INT,VARCHAR,DATE,TIMESTAMP,DOUBLE,DATETIME,BOOLEAN"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7" max="7" width="15.0"/>
    <col customWidth="1" min="9" max="9" width="15.0"/>
  </cols>
  <sheetData>
    <row r="1">
      <c r="A1" s="66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8" t="s">
        <v>10</v>
      </c>
    </row>
    <row r="2">
      <c r="A2" s="69" t="s">
        <v>64</v>
      </c>
      <c r="B2" s="4" t="s">
        <v>26</v>
      </c>
      <c r="C2" s="5" t="str">
        <f t="shared" ref="C2:C9" si="1">CONCATENATE(A2,"_",B2)</f>
        <v>Survey_id</v>
      </c>
      <c r="D2" s="9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69" t="s">
        <v>64</v>
      </c>
      <c r="B3" s="4" t="s">
        <v>14</v>
      </c>
      <c r="C3" s="5" t="str">
        <f t="shared" si="1"/>
        <v>Survey_name</v>
      </c>
      <c r="D3" s="9" t="s">
        <v>16</v>
      </c>
      <c r="E3" s="4">
        <v>30.0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69" t="s">
        <v>64</v>
      </c>
      <c r="B4" s="4" t="s">
        <v>27</v>
      </c>
      <c r="C4" s="5" t="str">
        <f t="shared" si="1"/>
        <v>Survey_description</v>
      </c>
      <c r="D4" s="9" t="s">
        <v>16</v>
      </c>
      <c r="E4" s="4">
        <v>255.0</v>
      </c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70" t="s">
        <v>65</v>
      </c>
      <c r="B5" s="4" t="s">
        <v>20</v>
      </c>
      <c r="C5" s="5" t="str">
        <f t="shared" si="1"/>
        <v>Questions_FK_ID</v>
      </c>
      <c r="D5" s="9" t="s">
        <v>13</v>
      </c>
      <c r="E5" s="4">
        <v>11.0</v>
      </c>
      <c r="F5" s="5" t="b">
        <v>0</v>
      </c>
      <c r="G5" s="7"/>
      <c r="H5" s="4" t="b">
        <v>1</v>
      </c>
      <c r="I5" s="4" t="b">
        <v>0</v>
      </c>
      <c r="J5" s="4" t="b">
        <v>0</v>
      </c>
      <c r="K5" s="4" t="b">
        <v>1</v>
      </c>
    </row>
    <row r="6">
      <c r="A6" s="69" t="s">
        <v>64</v>
      </c>
      <c r="B6" s="4" t="s">
        <v>66</v>
      </c>
      <c r="C6" s="5" t="str">
        <f t="shared" si="1"/>
        <v>Survey_result</v>
      </c>
      <c r="D6" s="9" t="s">
        <v>28</v>
      </c>
      <c r="E6" s="4">
        <v>0.0</v>
      </c>
      <c r="F6" s="4" t="b">
        <v>0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  <row r="7">
      <c r="A7" s="3" t="s">
        <v>11</v>
      </c>
      <c r="B7" s="4" t="s">
        <v>20</v>
      </c>
      <c r="C7" s="5" t="str">
        <f t="shared" si="1"/>
        <v>User_FK_ID</v>
      </c>
      <c r="D7" s="6" t="s">
        <v>13</v>
      </c>
      <c r="E7" s="4">
        <v>11.0</v>
      </c>
      <c r="F7" s="4" t="b">
        <v>0</v>
      </c>
      <c r="G7" s="7"/>
      <c r="H7" s="4" t="b">
        <v>0</v>
      </c>
      <c r="I7" s="4" t="b">
        <v>0</v>
      </c>
      <c r="J7" s="4" t="b">
        <v>0</v>
      </c>
      <c r="K7" s="4" t="b">
        <v>1</v>
      </c>
      <c r="L7" s="40"/>
      <c r="M7" s="40"/>
      <c r="N7" s="40"/>
      <c r="O7" s="40"/>
    </row>
    <row r="8">
      <c r="A8" s="71" t="s">
        <v>64</v>
      </c>
      <c r="B8" s="8" t="s">
        <v>22</v>
      </c>
      <c r="C8" s="10" t="str">
        <f t="shared" si="1"/>
        <v>Survey_createdAt</v>
      </c>
      <c r="D8" s="9" t="s">
        <v>23</v>
      </c>
      <c r="E8" s="10">
        <v>255.0</v>
      </c>
      <c r="F8" s="10" t="b">
        <v>0</v>
      </c>
      <c r="G8" s="7"/>
      <c r="H8" s="10" t="b">
        <v>0</v>
      </c>
      <c r="I8" s="10" t="b">
        <v>0</v>
      </c>
      <c r="J8" s="10" t="b">
        <v>0</v>
      </c>
      <c r="K8" s="10" t="b">
        <v>0</v>
      </c>
      <c r="L8" s="40"/>
      <c r="M8" s="40"/>
      <c r="N8" s="40"/>
      <c r="O8" s="40"/>
    </row>
    <row r="9">
      <c r="A9" s="71" t="s">
        <v>64</v>
      </c>
      <c r="B9" s="8" t="s">
        <v>25</v>
      </c>
      <c r="C9" s="10" t="str">
        <f t="shared" si="1"/>
        <v>Survey_updatedAt</v>
      </c>
      <c r="D9" s="9" t="s">
        <v>23</v>
      </c>
      <c r="E9" s="10">
        <v>255.0</v>
      </c>
      <c r="F9" s="10" t="b">
        <v>0</v>
      </c>
      <c r="G9" s="7"/>
      <c r="H9" s="10" t="b">
        <v>0</v>
      </c>
      <c r="I9" s="10" t="b">
        <v>0</v>
      </c>
      <c r="J9" s="10" t="b">
        <v>0</v>
      </c>
      <c r="K9" s="10" t="b">
        <v>0</v>
      </c>
    </row>
  </sheetData>
  <dataValidations>
    <dataValidation type="list" allowBlank="1" showErrorMessage="1" sqref="D2:D6 D8:D9">
      <formula1>"INT,VARCHAR,DATE,TIMESTAMP,DOUBLE,DATETIME,BOOLEAN,TEXT"</formula1>
    </dataValidation>
    <dataValidation type="list" allowBlank="1" showErrorMessage="1" sqref="D7">
      <formula1>"INT,VARCHAR,DATE,TIMESTAMP,DOUBLE,DATETIME"</formula1>
    </dataValidation>
    <dataValidation type="list" allowBlank="1" showErrorMessage="1" sqref="G2:G9">
      <formula1>"NONE,NULL,current_timestamp()"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7" max="7" width="15.0"/>
    <col customWidth="1" min="9" max="9" width="15.0"/>
  </cols>
  <sheetData>
    <row r="1">
      <c r="A1" s="72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2" t="s">
        <v>10</v>
      </c>
      <c r="L1" s="74"/>
      <c r="M1" s="74"/>
      <c r="N1" s="74"/>
      <c r="O1" s="74"/>
    </row>
    <row r="2">
      <c r="A2" s="70" t="s">
        <v>65</v>
      </c>
      <c r="B2" s="4" t="s">
        <v>26</v>
      </c>
      <c r="C2" s="5" t="str">
        <f t="shared" ref="C2:C6" si="1">CONCATENATE(A2,"_",B2)</f>
        <v>Questions_id</v>
      </c>
      <c r="D2" s="9" t="s">
        <v>13</v>
      </c>
      <c r="E2" s="4">
        <v>11.0</v>
      </c>
      <c r="F2" s="5" t="b">
        <v>0</v>
      </c>
      <c r="G2" s="7"/>
      <c r="H2" s="4" t="b">
        <v>1</v>
      </c>
      <c r="I2" s="4" t="b">
        <v>1</v>
      </c>
      <c r="J2" s="4" t="b">
        <v>1</v>
      </c>
      <c r="K2" s="4" t="b">
        <v>0</v>
      </c>
    </row>
    <row r="3">
      <c r="A3" s="70" t="s">
        <v>65</v>
      </c>
      <c r="B3" s="4" t="s">
        <v>14</v>
      </c>
      <c r="C3" s="5" t="str">
        <f t="shared" si="1"/>
        <v>Questions_name</v>
      </c>
      <c r="D3" s="9" t="s">
        <v>16</v>
      </c>
      <c r="E3" s="4">
        <v>30.0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70" t="s">
        <v>65</v>
      </c>
      <c r="B4" s="4" t="s">
        <v>27</v>
      </c>
      <c r="C4" s="5" t="str">
        <f t="shared" si="1"/>
        <v>Questions_description</v>
      </c>
      <c r="D4" s="9" t="s">
        <v>16</v>
      </c>
      <c r="E4" s="4">
        <v>255.0</v>
      </c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75" t="s">
        <v>67</v>
      </c>
      <c r="B5" s="4" t="s">
        <v>20</v>
      </c>
      <c r="C5" s="5" t="str">
        <f t="shared" si="1"/>
        <v>Question_Types_FK_ID</v>
      </c>
      <c r="D5" s="9" t="s">
        <v>13</v>
      </c>
      <c r="E5" s="4">
        <v>11.0</v>
      </c>
      <c r="F5" s="5" t="b">
        <v>0</v>
      </c>
      <c r="G5" s="7"/>
      <c r="H5" s="4" t="b">
        <v>0</v>
      </c>
      <c r="I5" s="4" t="b">
        <v>0</v>
      </c>
      <c r="J5" s="4" t="b">
        <v>0</v>
      </c>
      <c r="K5" s="4" t="b">
        <v>1</v>
      </c>
    </row>
    <row r="6">
      <c r="A6" s="70" t="s">
        <v>65</v>
      </c>
      <c r="B6" s="4" t="s">
        <v>68</v>
      </c>
      <c r="C6" s="5" t="str">
        <f t="shared" si="1"/>
        <v>Questions_answer</v>
      </c>
      <c r="D6" s="9" t="s">
        <v>16</v>
      </c>
      <c r="E6" s="4">
        <v>255.0</v>
      </c>
      <c r="F6" s="4" t="b">
        <v>0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</sheetData>
  <dataValidations>
    <dataValidation type="list" allowBlank="1" showErrorMessage="1" sqref="D2:D6">
      <formula1>"INT,VARCHAR,DATE,TIMESTAMP,DOUBLE,DATETIME,BOOLEAN,TEXT"</formula1>
    </dataValidation>
    <dataValidation type="list" allowBlank="1" showErrorMessage="1" sqref="G2:G6">
      <formula1>"NONE,NULL,current_timestamp()"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7" max="7" width="15.0"/>
    <col customWidth="1" min="9" max="9" width="15.0"/>
  </cols>
  <sheetData>
    <row r="1">
      <c r="A1" s="76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6" t="s">
        <v>10</v>
      </c>
      <c r="L1" s="78"/>
      <c r="M1" s="78"/>
      <c r="N1" s="78"/>
      <c r="O1" s="78"/>
    </row>
    <row r="2">
      <c r="A2" s="75" t="s">
        <v>67</v>
      </c>
      <c r="B2" s="4" t="s">
        <v>26</v>
      </c>
      <c r="C2" s="5" t="str">
        <f t="shared" ref="C2:C3" si="1">CONCATENATE(A2,"_",B2)</f>
        <v>Question_Types_id</v>
      </c>
      <c r="D2" s="9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75" t="s">
        <v>67</v>
      </c>
      <c r="B3" s="4" t="s">
        <v>14</v>
      </c>
      <c r="C3" s="5" t="str">
        <f t="shared" si="1"/>
        <v>Question_Types_name</v>
      </c>
      <c r="D3" s="9" t="s">
        <v>16</v>
      </c>
      <c r="E3" s="4">
        <v>30.0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"INT,VARCHAR,DATE,TIMESTAMP,DOUBLE,DATETIME,BOOLEAN,TEXT"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55A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5.88"/>
    <col customWidth="1" min="4" max="4" width="15.5"/>
    <col customWidth="1" min="7" max="7" width="21.88"/>
    <col customWidth="1" min="9" max="9" width="15.0"/>
  </cols>
  <sheetData>
    <row r="1">
      <c r="A1" s="79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1" t="s">
        <v>10</v>
      </c>
    </row>
    <row r="2">
      <c r="A2" s="82" t="s">
        <v>69</v>
      </c>
      <c r="B2" s="4" t="s">
        <v>26</v>
      </c>
      <c r="C2" s="5" t="str">
        <f t="shared" ref="C2:C8" si="1">CONCATENATE(A2,"_",B2)</f>
        <v>Reservation_id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83" t="s">
        <v>70</v>
      </c>
      <c r="B3" s="4" t="s">
        <v>20</v>
      </c>
      <c r="C3" s="5" t="str">
        <f t="shared" si="1"/>
        <v>Reservation_type_FK_ID</v>
      </c>
      <c r="D3" s="9" t="s">
        <v>13</v>
      </c>
      <c r="E3" s="4">
        <v>11.0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1</v>
      </c>
    </row>
    <row r="4">
      <c r="A4" s="82" t="s">
        <v>69</v>
      </c>
      <c r="B4" s="4" t="s">
        <v>71</v>
      </c>
      <c r="C4" s="5" t="str">
        <f t="shared" si="1"/>
        <v>Reservation_start_time</v>
      </c>
      <c r="D4" s="9" t="s">
        <v>48</v>
      </c>
      <c r="E4" s="4"/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82" t="s">
        <v>69</v>
      </c>
      <c r="B5" s="4" t="s">
        <v>72</v>
      </c>
      <c r="C5" s="5" t="str">
        <f t="shared" si="1"/>
        <v>Reservation_end_time</v>
      </c>
      <c r="D5" s="9" t="s">
        <v>48</v>
      </c>
      <c r="E5" s="4"/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0</v>
      </c>
    </row>
    <row r="6">
      <c r="A6" s="82" t="s">
        <v>69</v>
      </c>
      <c r="B6" s="4" t="s">
        <v>27</v>
      </c>
      <c r="C6" s="5" t="str">
        <f t="shared" si="1"/>
        <v>Reservation_description</v>
      </c>
      <c r="D6" s="9" t="s">
        <v>28</v>
      </c>
      <c r="E6" s="4"/>
      <c r="F6" s="4" t="b">
        <v>0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  <row r="7">
      <c r="A7" s="84" t="s">
        <v>73</v>
      </c>
      <c r="B7" s="4" t="s">
        <v>20</v>
      </c>
      <c r="C7" s="5" t="str">
        <f t="shared" si="1"/>
        <v>Reservation_status_FK_ID</v>
      </c>
      <c r="D7" s="9" t="s">
        <v>16</v>
      </c>
      <c r="E7" s="4">
        <v>10.0</v>
      </c>
      <c r="F7" s="4" t="b">
        <v>0</v>
      </c>
      <c r="G7" s="7"/>
      <c r="H7" s="4" t="b">
        <v>0</v>
      </c>
      <c r="I7" s="4" t="b">
        <v>0</v>
      </c>
      <c r="J7" s="4" t="b">
        <v>0</v>
      </c>
      <c r="K7" s="4" t="b">
        <v>1</v>
      </c>
    </row>
    <row r="8">
      <c r="A8" s="37" t="s">
        <v>44</v>
      </c>
      <c r="B8" s="4" t="s">
        <v>20</v>
      </c>
      <c r="C8" s="5" t="str">
        <f t="shared" si="1"/>
        <v>Owner_FK_ID</v>
      </c>
      <c r="D8" s="6" t="s">
        <v>13</v>
      </c>
      <c r="E8" s="4">
        <v>11.0</v>
      </c>
      <c r="F8" s="4" t="b">
        <v>0</v>
      </c>
      <c r="G8" s="7"/>
      <c r="H8" s="4" t="b">
        <v>0</v>
      </c>
      <c r="I8" s="4" t="b">
        <v>0</v>
      </c>
      <c r="J8" s="4" t="b">
        <v>0</v>
      </c>
      <c r="K8" s="4" t="b">
        <v>1</v>
      </c>
    </row>
  </sheetData>
  <dataValidations>
    <dataValidation type="list" allowBlank="1" showErrorMessage="1" sqref="D2:D8">
      <formula1>"INT,VARCHAR,DATE,TIMESTAMP,DOUBLE,DATETIME,TEXT"</formula1>
    </dataValidation>
    <dataValidation type="list" allowBlank="1" showErrorMessage="1" sqref="G2:G8">
      <formula1>"NONE,NULL,current_timestamp()"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74C7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5.88"/>
    <col customWidth="1" min="4" max="4" width="11.63"/>
    <col customWidth="1" min="7" max="7" width="21.88"/>
    <col customWidth="1" min="9" max="9" width="15.0"/>
  </cols>
  <sheetData>
    <row r="1">
      <c r="A1" s="85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7" t="s">
        <v>10</v>
      </c>
    </row>
    <row r="2">
      <c r="A2" s="83" t="s">
        <v>70</v>
      </c>
      <c r="B2" s="4" t="s">
        <v>26</v>
      </c>
      <c r="C2" s="5" t="str">
        <f t="shared" ref="C2:C3" si="1">CONCATENATE(A2,"_",B2)</f>
        <v>Reservation_type_id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83" t="s">
        <v>70</v>
      </c>
      <c r="B3" s="4" t="s">
        <v>14</v>
      </c>
      <c r="C3" s="5" t="str">
        <f t="shared" si="1"/>
        <v>Reservation_type_name</v>
      </c>
      <c r="D3" s="6" t="s">
        <v>13</v>
      </c>
      <c r="E3" s="4">
        <v>11.0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08F74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5.88"/>
    <col customWidth="1" min="4" max="4" width="11.63"/>
    <col customWidth="1" min="7" max="7" width="21.88"/>
    <col customWidth="1" min="9" max="9" width="15.0"/>
  </cols>
  <sheetData>
    <row r="1">
      <c r="A1" s="88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89" t="s">
        <v>5</v>
      </c>
      <c r="G1" s="89" t="s">
        <v>6</v>
      </c>
      <c r="H1" s="89" t="s">
        <v>7</v>
      </c>
      <c r="I1" s="89" t="s">
        <v>8</v>
      </c>
      <c r="J1" s="89" t="s">
        <v>9</v>
      </c>
      <c r="K1" s="90" t="s">
        <v>10</v>
      </c>
    </row>
    <row r="2">
      <c r="A2" s="84" t="s">
        <v>73</v>
      </c>
      <c r="B2" s="4" t="s">
        <v>26</v>
      </c>
      <c r="C2" s="5" t="str">
        <f t="shared" ref="C2:C3" si="1">CONCATENATE(A2,"_",B2)</f>
        <v>Reservation_status_id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84" t="s">
        <v>73</v>
      </c>
      <c r="B3" s="4" t="s">
        <v>14</v>
      </c>
      <c r="C3" s="5" t="str">
        <f t="shared" si="1"/>
        <v>Reservation_status_name</v>
      </c>
      <c r="D3" s="9" t="s">
        <v>16</v>
      </c>
      <c r="E3" s="4">
        <v>100.0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7" max="7" width="16.88"/>
    <col customWidth="1" min="9" max="9" width="15.0"/>
  </cols>
  <sheetData>
    <row r="1">
      <c r="A1" s="91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92" t="s">
        <v>8</v>
      </c>
      <c r="J1" s="92" t="s">
        <v>9</v>
      </c>
      <c r="K1" s="93" t="s">
        <v>10</v>
      </c>
    </row>
    <row r="2">
      <c r="A2" s="94" t="s">
        <v>74</v>
      </c>
      <c r="B2" s="4" t="s">
        <v>26</v>
      </c>
      <c r="C2" s="5" t="str">
        <f t="shared" ref="C2:C7" si="1">CONCATENATE(A2,"_",B2)</f>
        <v>PQRS_id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94" t="s">
        <v>74</v>
      </c>
      <c r="B3" s="4" t="s">
        <v>14</v>
      </c>
      <c r="C3" s="5" t="str">
        <f t="shared" si="1"/>
        <v>PQRS_name</v>
      </c>
      <c r="D3" s="9" t="s">
        <v>16</v>
      </c>
      <c r="E3" s="4">
        <v>30.0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  <row r="4">
      <c r="A4" s="95" t="s">
        <v>75</v>
      </c>
      <c r="B4" s="4" t="s">
        <v>54</v>
      </c>
      <c r="C4" s="5" t="str">
        <f t="shared" si="1"/>
        <v>PQRS_category_ID_FK</v>
      </c>
      <c r="D4" s="6" t="s">
        <v>13</v>
      </c>
      <c r="E4" s="4">
        <v>11.0</v>
      </c>
      <c r="F4" s="5" t="b">
        <v>0</v>
      </c>
      <c r="G4" s="7"/>
      <c r="H4" s="4" t="b">
        <v>0</v>
      </c>
      <c r="I4" s="4" t="b">
        <v>1</v>
      </c>
      <c r="J4" s="4" t="b">
        <v>1</v>
      </c>
      <c r="K4" s="4" t="b">
        <v>0</v>
      </c>
    </row>
    <row r="5">
      <c r="A5" s="94" t="s">
        <v>74</v>
      </c>
      <c r="B5" s="4" t="s">
        <v>27</v>
      </c>
      <c r="C5" s="5" t="str">
        <f t="shared" si="1"/>
        <v>PQRS_description</v>
      </c>
      <c r="D5" s="9" t="s">
        <v>28</v>
      </c>
      <c r="E5" s="4"/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0</v>
      </c>
    </row>
    <row r="6">
      <c r="A6" s="94" t="s">
        <v>74</v>
      </c>
      <c r="B6" s="4" t="s">
        <v>76</v>
      </c>
      <c r="C6" s="5" t="str">
        <f t="shared" si="1"/>
        <v>PQRS_file</v>
      </c>
      <c r="D6" s="9" t="s">
        <v>16</v>
      </c>
      <c r="E6" s="4">
        <v>255.0</v>
      </c>
      <c r="F6" s="4" t="b">
        <v>1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  <row r="7">
      <c r="A7" s="94" t="s">
        <v>74</v>
      </c>
      <c r="B7" s="4" t="s">
        <v>68</v>
      </c>
      <c r="C7" s="5" t="str">
        <f t="shared" si="1"/>
        <v>PQRS_answer</v>
      </c>
      <c r="D7" s="9" t="s">
        <v>16</v>
      </c>
      <c r="E7" s="4">
        <v>255.0</v>
      </c>
      <c r="F7" s="4" t="b">
        <v>1</v>
      </c>
      <c r="G7" s="7"/>
      <c r="H7" s="4" t="b">
        <v>0</v>
      </c>
      <c r="I7" s="4" t="b">
        <v>0</v>
      </c>
      <c r="J7" s="4" t="b">
        <v>0</v>
      </c>
      <c r="K7" s="4" t="b">
        <v>0</v>
      </c>
    </row>
  </sheetData>
  <dataValidations>
    <dataValidation type="list" allowBlank="1" showErrorMessage="1" sqref="D2:D7">
      <formula1>"INT,VARCHAR,DATE,TIMESTAMP,DOUBLE,DATETIME,TEXT"</formula1>
    </dataValidation>
    <dataValidation type="list" allowBlank="1" showErrorMessage="1" sqref="G2:G7">
      <formula1>"NONE,NULL,current_timestamp()"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D192"/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7" max="7" width="16.88"/>
    <col customWidth="1" min="8" max="8" width="8.13"/>
    <col customWidth="1" min="9" max="9" width="19.63"/>
    <col customWidth="1" min="10" max="10" width="14.63"/>
    <col customWidth="1" min="11" max="11" width="15.25"/>
  </cols>
  <sheetData>
    <row r="1">
      <c r="A1" s="96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6" t="s">
        <v>10</v>
      </c>
    </row>
    <row r="2">
      <c r="A2" s="98" t="s">
        <v>19</v>
      </c>
      <c r="B2" s="4" t="s">
        <v>26</v>
      </c>
      <c r="C2" s="5" t="str">
        <f t="shared" ref="C2:C4" si="1">CONCATENATE(A2,"_",B2)</f>
        <v>User_status_id</v>
      </c>
      <c r="D2" s="6" t="s">
        <v>13</v>
      </c>
      <c r="E2" s="4">
        <v>11.0</v>
      </c>
      <c r="F2" s="4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98" t="s">
        <v>19</v>
      </c>
      <c r="B3" s="4" t="s">
        <v>14</v>
      </c>
      <c r="C3" s="5" t="str">
        <f t="shared" si="1"/>
        <v>User_status_name</v>
      </c>
      <c r="D3" s="9" t="s">
        <v>16</v>
      </c>
      <c r="E3" s="4">
        <v>30.0</v>
      </c>
      <c r="F3" s="4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  <row r="4">
      <c r="A4" s="98" t="s">
        <v>19</v>
      </c>
      <c r="B4" s="4" t="s">
        <v>27</v>
      </c>
      <c r="C4" s="5" t="str">
        <f t="shared" si="1"/>
        <v>User_status_description</v>
      </c>
      <c r="D4" s="9" t="s">
        <v>28</v>
      </c>
      <c r="E4" s="4">
        <v>30.0</v>
      </c>
      <c r="F4" s="4" t="b">
        <v>1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</sheetData>
  <dataValidations>
    <dataValidation type="list" allowBlank="1" showErrorMessage="1" sqref="D4">
      <formula1>"INT,VARCHAR,DATE,TIMESTAMP,DOUBLE,DATETIME,TEXT"</formula1>
    </dataValidation>
    <dataValidation type="list" allowBlank="1" showErrorMessage="1" sqref="D2:D3">
      <formula1>"INT,VARCHAR,DATE,TIMESTAMP,DOUBLE,DATETIME"</formula1>
    </dataValidation>
    <dataValidation type="list" allowBlank="1" showErrorMessage="1" sqref="G2:G4">
      <formula1>"NONE,NULL,current_timestamp()"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65B5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14.5"/>
    <col customWidth="1" min="7" max="7" width="16.88"/>
    <col customWidth="1" min="9" max="9" width="15.0"/>
  </cols>
  <sheetData>
    <row r="1">
      <c r="A1" s="99" t="s">
        <v>0</v>
      </c>
      <c r="B1" s="100" t="s">
        <v>1</v>
      </c>
      <c r="C1" s="100" t="s">
        <v>2</v>
      </c>
      <c r="D1" s="100" t="s">
        <v>3</v>
      </c>
      <c r="E1" s="100" t="s">
        <v>4</v>
      </c>
      <c r="F1" s="100" t="s">
        <v>5</v>
      </c>
      <c r="G1" s="100" t="s">
        <v>6</v>
      </c>
      <c r="H1" s="100" t="s">
        <v>7</v>
      </c>
      <c r="I1" s="100" t="s">
        <v>8</v>
      </c>
      <c r="J1" s="100" t="s">
        <v>9</v>
      </c>
      <c r="K1" s="101" t="s">
        <v>10</v>
      </c>
    </row>
    <row r="2">
      <c r="A2" s="102" t="s">
        <v>77</v>
      </c>
      <c r="B2" s="4" t="s">
        <v>26</v>
      </c>
      <c r="C2" s="5" t="str">
        <f t="shared" ref="C2:C7" si="1">CONCATENATE(A2,"_",B2)</f>
        <v>PQRS_tracking_id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94" t="s">
        <v>74</v>
      </c>
      <c r="B3" s="4" t="s">
        <v>54</v>
      </c>
      <c r="C3" s="5" t="str">
        <f t="shared" si="1"/>
        <v>PQRS_ID_FK</v>
      </c>
      <c r="D3" s="6" t="s">
        <v>13</v>
      </c>
      <c r="E3" s="4">
        <v>11.0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1</v>
      </c>
    </row>
    <row r="4">
      <c r="A4" s="3" t="s">
        <v>11</v>
      </c>
      <c r="B4" s="4" t="s">
        <v>54</v>
      </c>
      <c r="C4" s="5" t="str">
        <f t="shared" si="1"/>
        <v>User_ID_FK</v>
      </c>
      <c r="D4" s="6" t="s">
        <v>13</v>
      </c>
      <c r="E4" s="4">
        <v>11.0</v>
      </c>
      <c r="F4" s="4" t="b">
        <v>0</v>
      </c>
      <c r="G4" s="7"/>
      <c r="H4" s="4" t="b">
        <v>0</v>
      </c>
      <c r="I4" s="4" t="b">
        <v>0</v>
      </c>
      <c r="J4" s="4" t="b">
        <v>0</v>
      </c>
      <c r="K4" s="4" t="b">
        <v>1</v>
      </c>
    </row>
    <row r="5">
      <c r="A5" s="103" t="s">
        <v>78</v>
      </c>
      <c r="B5" s="4" t="s">
        <v>54</v>
      </c>
      <c r="C5" s="5" t="str">
        <f t="shared" si="1"/>
        <v>PQRS_tracking_status_ID_FK</v>
      </c>
      <c r="D5" s="6" t="s">
        <v>13</v>
      </c>
      <c r="E5" s="4">
        <v>11.0</v>
      </c>
      <c r="F5" s="5" t="b">
        <v>0</v>
      </c>
      <c r="G5" s="7"/>
      <c r="H5" s="4" t="b">
        <v>0</v>
      </c>
      <c r="I5" s="4" t="b">
        <v>1</v>
      </c>
      <c r="J5" s="4" t="b">
        <v>1</v>
      </c>
      <c r="K5" s="4" t="b">
        <v>0</v>
      </c>
    </row>
    <row r="6">
      <c r="A6" s="102" t="s">
        <v>77</v>
      </c>
      <c r="B6" s="4" t="s">
        <v>79</v>
      </c>
      <c r="C6" s="5" t="str">
        <f t="shared" si="1"/>
        <v>PQRS_tracking_dateUpdate</v>
      </c>
      <c r="D6" s="9" t="s">
        <v>16</v>
      </c>
      <c r="E6" s="4">
        <v>15.0</v>
      </c>
      <c r="F6" s="5" t="b">
        <v>0</v>
      </c>
      <c r="G6" s="7"/>
      <c r="H6" s="4" t="b">
        <v>0</v>
      </c>
      <c r="I6" s="4" t="b">
        <v>0</v>
      </c>
      <c r="J6" s="4" t="b">
        <v>0</v>
      </c>
      <c r="K6" s="4" t="b">
        <v>0</v>
      </c>
    </row>
    <row r="7">
      <c r="A7" s="102" t="s">
        <v>77</v>
      </c>
      <c r="B7" s="4" t="s">
        <v>68</v>
      </c>
      <c r="C7" s="5" t="str">
        <f t="shared" si="1"/>
        <v>PQRS_tracking_answer</v>
      </c>
      <c r="D7" s="9" t="s">
        <v>28</v>
      </c>
      <c r="E7" s="4"/>
      <c r="F7" s="4" t="b">
        <v>0</v>
      </c>
      <c r="G7" s="7"/>
      <c r="H7" s="4" t="b">
        <v>0</v>
      </c>
      <c r="I7" s="4" t="b">
        <v>0</v>
      </c>
      <c r="J7" s="4" t="b">
        <v>0</v>
      </c>
      <c r="K7" s="4" t="b">
        <v>0</v>
      </c>
    </row>
  </sheetData>
  <dataValidations>
    <dataValidation type="list" allowBlank="1" showErrorMessage="1" sqref="D2:D7">
      <formula1>"INT,VARCHAR,DATE,TIMESTAMP,DOUBLE,DATETIME,TEXT"</formula1>
    </dataValidation>
    <dataValidation type="list" allowBlank="1" showErrorMessage="1" sqref="G2:G7">
      <formula1>"NONE,NULL,current_timestamp()"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14.5"/>
    <col customWidth="1" min="7" max="7" width="16.88"/>
    <col customWidth="1" min="9" max="9" width="15.0"/>
  </cols>
  <sheetData>
    <row r="1">
      <c r="A1" s="104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5" t="s">
        <v>9</v>
      </c>
      <c r="K1" s="106" t="s">
        <v>10</v>
      </c>
    </row>
    <row r="2">
      <c r="A2" s="103" t="s">
        <v>78</v>
      </c>
      <c r="B2" s="4" t="s">
        <v>26</v>
      </c>
      <c r="C2" s="5" t="str">
        <f t="shared" ref="C2:C3" si="1">CONCATENATE(A2,"_",B2)</f>
        <v>PQRS_tracking_status_id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103" t="s">
        <v>78</v>
      </c>
      <c r="B3" s="4" t="s">
        <v>14</v>
      </c>
      <c r="C3" s="5" t="str">
        <f t="shared" si="1"/>
        <v>PQRS_tracking_status_name</v>
      </c>
      <c r="D3" s="9" t="s">
        <v>16</v>
      </c>
      <c r="E3" s="4">
        <v>30.0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"INT,VARCHAR,DATE,TIMESTAMP,DOUBLE,DATETIME,TEXT"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14.5"/>
    <col customWidth="1" min="7" max="7" width="16.88"/>
    <col customWidth="1" min="9" max="9" width="15.0"/>
  </cols>
  <sheetData>
    <row r="1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8" t="s">
        <v>7</v>
      </c>
      <c r="I1" s="108" t="s">
        <v>8</v>
      </c>
      <c r="J1" s="108" t="s">
        <v>9</v>
      </c>
      <c r="K1" s="107" t="s">
        <v>10</v>
      </c>
    </row>
    <row r="2">
      <c r="A2" s="95" t="s">
        <v>75</v>
      </c>
      <c r="B2" s="4" t="s">
        <v>26</v>
      </c>
      <c r="C2" s="5" t="str">
        <f t="shared" ref="C2:C3" si="1">CONCATENATE(A2,"_",B2)</f>
        <v>PQRS_category_id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95" t="s">
        <v>75</v>
      </c>
      <c r="B3" s="4" t="s">
        <v>14</v>
      </c>
      <c r="C3" s="5" t="str">
        <f t="shared" si="1"/>
        <v>PQRS_category_name</v>
      </c>
      <c r="D3" s="9" t="s">
        <v>16</v>
      </c>
      <c r="E3" s="4">
        <v>30.0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1</v>
      </c>
    </row>
  </sheetData>
  <dataValidations>
    <dataValidation type="list" allowBlank="1" showErrorMessage="1" sqref="D2:D3">
      <formula1>"INT,VARCHAR,DATE,TIMESTAMP,DOUBLE,DATETIME,TEXT"</formula1>
    </dataValidation>
    <dataValidation type="list" allowBlank="1" showErrorMessage="1" sqref="G2:G3">
      <formula1>"NONE,NULL,current_timestamp()"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AB2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109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0" t="s">
        <v>9</v>
      </c>
      <c r="K1" s="111" t="s">
        <v>10</v>
      </c>
      <c r="L1" s="112"/>
      <c r="M1" s="112"/>
      <c r="N1" s="112"/>
      <c r="O1" s="112"/>
    </row>
    <row r="2">
      <c r="A2" s="113" t="s">
        <v>80</v>
      </c>
      <c r="B2" s="4" t="s">
        <v>26</v>
      </c>
      <c r="C2" s="5" t="str">
        <f t="shared" ref="C2:C6" si="1">CONCATENATE(A2,"_",B2)</f>
        <v>Notification_id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113" t="s">
        <v>80</v>
      </c>
      <c r="B3" s="4" t="s">
        <v>14</v>
      </c>
      <c r="C3" s="5" t="str">
        <f t="shared" si="1"/>
        <v>Notification_name</v>
      </c>
      <c r="D3" s="9" t="s">
        <v>16</v>
      </c>
      <c r="E3" s="4">
        <v>30.0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  <row r="4">
      <c r="A4" s="114" t="s">
        <v>81</v>
      </c>
      <c r="B4" s="4" t="s">
        <v>54</v>
      </c>
      <c r="C4" s="5" t="str">
        <f t="shared" si="1"/>
        <v>Notification_type_ID_FK</v>
      </c>
      <c r="D4" s="6" t="s">
        <v>13</v>
      </c>
      <c r="E4" s="4">
        <v>11.0</v>
      </c>
      <c r="F4" s="5" t="b">
        <v>0</v>
      </c>
      <c r="G4" s="7"/>
      <c r="H4" s="4" t="b">
        <v>0</v>
      </c>
      <c r="I4" s="4" t="b">
        <v>1</v>
      </c>
      <c r="J4" s="4" t="b">
        <v>1</v>
      </c>
      <c r="K4" s="4" t="b">
        <v>0</v>
      </c>
    </row>
    <row r="5">
      <c r="A5" s="113" t="s">
        <v>80</v>
      </c>
      <c r="B5" s="4" t="s">
        <v>27</v>
      </c>
      <c r="C5" s="5" t="str">
        <f t="shared" si="1"/>
        <v>Notification_description</v>
      </c>
      <c r="D5" s="9" t="s">
        <v>28</v>
      </c>
      <c r="E5" s="4">
        <v>255.0</v>
      </c>
      <c r="F5" s="4" t="b">
        <v>0</v>
      </c>
      <c r="G5" s="7"/>
      <c r="H5" s="4" t="b">
        <v>0</v>
      </c>
      <c r="I5" s="4" t="b">
        <v>0</v>
      </c>
      <c r="J5" s="4" t="b">
        <v>0</v>
      </c>
      <c r="K5" s="4" t="b">
        <v>0</v>
      </c>
    </row>
    <row r="6">
      <c r="A6" s="37" t="s">
        <v>11</v>
      </c>
      <c r="B6" s="4" t="s">
        <v>54</v>
      </c>
      <c r="C6" s="5" t="str">
        <f t="shared" si="1"/>
        <v>User_ID_FK</v>
      </c>
      <c r="D6" s="6" t="s">
        <v>13</v>
      </c>
      <c r="E6" s="4">
        <v>11.0</v>
      </c>
      <c r="F6" s="4" t="b">
        <v>1</v>
      </c>
      <c r="G6" s="7"/>
      <c r="H6" s="4" t="b">
        <v>0</v>
      </c>
      <c r="I6" s="4" t="b">
        <v>0</v>
      </c>
      <c r="J6" s="4" t="b">
        <v>0</v>
      </c>
      <c r="K6" s="4" t="b">
        <v>1</v>
      </c>
    </row>
  </sheetData>
  <dataValidations>
    <dataValidation type="list" allowBlank="1" showErrorMessage="1" sqref="D2:D6">
      <formula1>"INT,VARCHAR,DATE,TIMESTAMP,DOUBLE,DATETIME,TEXT"</formula1>
    </dataValidation>
    <dataValidation type="list" allowBlank="1" showErrorMessage="1" sqref="G2:G6">
      <formula1>"NONE,NULL,current_timestamp()"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115" t="s">
        <v>0</v>
      </c>
      <c r="B1" s="116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6" t="s">
        <v>7</v>
      </c>
      <c r="I1" s="116" t="s">
        <v>8</v>
      </c>
      <c r="J1" s="116" t="s">
        <v>9</v>
      </c>
      <c r="K1" s="116" t="s">
        <v>82</v>
      </c>
    </row>
    <row r="2">
      <c r="A2" s="114" t="s">
        <v>81</v>
      </c>
      <c r="B2" s="4" t="s">
        <v>26</v>
      </c>
      <c r="C2" s="5" t="str">
        <f t="shared" ref="C2:C3" si="1">CONCATENATE(A2,"_",B2)</f>
        <v>Notification_type_id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114" t="s">
        <v>81</v>
      </c>
      <c r="B3" s="4" t="s">
        <v>14</v>
      </c>
      <c r="C3" s="5" t="str">
        <f t="shared" si="1"/>
        <v>Notification_type_name</v>
      </c>
      <c r="D3" s="9" t="s">
        <v>16</v>
      </c>
      <c r="E3" s="4">
        <v>30.0</v>
      </c>
      <c r="F3" s="5" t="b">
        <v>0</v>
      </c>
      <c r="G3" s="7"/>
      <c r="H3" s="4" t="b">
        <v>1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"INT,VARCHAR,DATE,TIMESTAMP,DOUBLE,DATETIME,TEXT"</formula1>
    </dataValidation>
    <dataValidation type="list" allowBlank="1" showErrorMessage="1" sqref="G2:G3">
      <formula1>"NONE,NULL,current_timestamp()"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7E4A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16.88"/>
    <col customWidth="1" min="7" max="7" width="16.88"/>
    <col customWidth="1" min="9" max="9" width="17.5"/>
    <col customWidth="1" min="10" max="10" width="13.63"/>
  </cols>
  <sheetData>
    <row r="1">
      <c r="A1" s="117" t="s">
        <v>0</v>
      </c>
      <c r="B1" s="118" t="s">
        <v>1</v>
      </c>
      <c r="C1" s="118" t="s">
        <v>2</v>
      </c>
      <c r="D1" s="118" t="s">
        <v>3</v>
      </c>
      <c r="E1" s="118" t="s">
        <v>4</v>
      </c>
      <c r="F1" s="118" t="s">
        <v>5</v>
      </c>
      <c r="G1" s="118" t="s">
        <v>6</v>
      </c>
      <c r="H1" s="118" t="s">
        <v>7</v>
      </c>
      <c r="I1" s="118" t="s">
        <v>8</v>
      </c>
      <c r="J1" s="118" t="s">
        <v>9</v>
      </c>
      <c r="K1" s="119" t="s">
        <v>10</v>
      </c>
    </row>
    <row r="2">
      <c r="A2" s="120" t="s">
        <v>83</v>
      </c>
      <c r="B2" s="4" t="s">
        <v>26</v>
      </c>
      <c r="C2" s="5" t="str">
        <f t="shared" ref="C2:C8" si="1">CONCATENATE(A2,"_",B2)</f>
        <v>Pet_id</v>
      </c>
      <c r="D2" s="6" t="s">
        <v>13</v>
      </c>
      <c r="E2" s="4">
        <v>11.0</v>
      </c>
      <c r="F2" s="5" t="b">
        <v>0</v>
      </c>
      <c r="G2" s="121"/>
      <c r="H2" s="4" t="b">
        <v>1</v>
      </c>
      <c r="I2" s="4" t="b">
        <v>1</v>
      </c>
      <c r="J2" s="4" t="b">
        <v>1</v>
      </c>
      <c r="K2" s="4" t="b">
        <v>0</v>
      </c>
    </row>
    <row r="3">
      <c r="A3" s="120" t="s">
        <v>83</v>
      </c>
      <c r="B3" s="4" t="s">
        <v>14</v>
      </c>
      <c r="C3" s="5" t="str">
        <f t="shared" si="1"/>
        <v>Pet_name</v>
      </c>
      <c r="D3" s="9" t="s">
        <v>16</v>
      </c>
      <c r="E3" s="4">
        <v>30.0</v>
      </c>
      <c r="F3" s="5" t="b">
        <v>0</v>
      </c>
      <c r="G3" s="121"/>
      <c r="H3" s="4" t="b">
        <v>0</v>
      </c>
      <c r="I3" s="4" t="b">
        <v>0</v>
      </c>
      <c r="J3" s="4" t="b">
        <v>0</v>
      </c>
      <c r="K3" s="4" t="b">
        <v>0</v>
      </c>
    </row>
    <row r="4">
      <c r="A4" s="120" t="s">
        <v>83</v>
      </c>
      <c r="B4" s="4" t="s">
        <v>84</v>
      </c>
      <c r="C4" s="5" t="str">
        <f t="shared" si="1"/>
        <v>Pet_species</v>
      </c>
      <c r="D4" s="9" t="s">
        <v>16</v>
      </c>
      <c r="E4" s="4">
        <v>30.0</v>
      </c>
      <c r="F4" s="4" t="b">
        <v>0</v>
      </c>
      <c r="G4" s="121"/>
      <c r="H4" s="4" t="b">
        <v>0</v>
      </c>
      <c r="I4" s="4" t="b">
        <v>0</v>
      </c>
      <c r="J4" s="4" t="b">
        <v>0</v>
      </c>
      <c r="K4" s="4" t="b">
        <v>0</v>
      </c>
    </row>
    <row r="5">
      <c r="A5" s="120" t="s">
        <v>83</v>
      </c>
      <c r="B5" s="4" t="s">
        <v>85</v>
      </c>
      <c r="C5" s="5" t="str">
        <f t="shared" si="1"/>
        <v>Pet_Breed</v>
      </c>
      <c r="D5" s="9" t="s">
        <v>16</v>
      </c>
      <c r="E5" s="4">
        <v>30.0</v>
      </c>
      <c r="F5" s="4" t="b">
        <v>0</v>
      </c>
      <c r="G5" s="121"/>
      <c r="H5" s="4" t="b">
        <v>0</v>
      </c>
      <c r="I5" s="4" t="b">
        <v>0</v>
      </c>
      <c r="J5" s="4" t="b">
        <v>0</v>
      </c>
      <c r="K5" s="4" t="b">
        <v>0</v>
      </c>
    </row>
    <row r="6">
      <c r="A6" s="120" t="s">
        <v>83</v>
      </c>
      <c r="B6" s="4" t="s">
        <v>86</v>
      </c>
      <c r="C6" s="5" t="str">
        <f t="shared" si="1"/>
        <v>Pet_vaccination_card</v>
      </c>
      <c r="D6" s="9" t="s">
        <v>16</v>
      </c>
      <c r="E6" s="4">
        <v>255.0</v>
      </c>
      <c r="F6" s="4" t="b">
        <v>0</v>
      </c>
      <c r="G6" s="121"/>
      <c r="H6" s="4" t="b">
        <v>0</v>
      </c>
      <c r="I6" s="4" t="b">
        <v>0</v>
      </c>
      <c r="J6" s="4" t="b">
        <v>0</v>
      </c>
      <c r="K6" s="4" t="b">
        <v>0</v>
      </c>
    </row>
    <row r="7">
      <c r="A7" s="120" t="s">
        <v>83</v>
      </c>
      <c r="B7" s="4" t="s">
        <v>87</v>
      </c>
      <c r="C7" s="5" t="str">
        <f t="shared" si="1"/>
        <v>Pet_Photo</v>
      </c>
      <c r="D7" s="9" t="s">
        <v>16</v>
      </c>
      <c r="E7" s="4">
        <v>255.0</v>
      </c>
      <c r="F7" s="4" t="b">
        <v>1</v>
      </c>
      <c r="G7" s="14" t="s">
        <v>5</v>
      </c>
      <c r="H7" s="4" t="b">
        <v>0</v>
      </c>
      <c r="I7" s="4" t="b">
        <v>0</v>
      </c>
      <c r="J7" s="4" t="b">
        <v>0</v>
      </c>
      <c r="K7" s="4" t="b">
        <v>0</v>
      </c>
    </row>
    <row r="8">
      <c r="A8" s="37" t="s">
        <v>44</v>
      </c>
      <c r="B8" s="4" t="s">
        <v>20</v>
      </c>
      <c r="C8" s="5" t="str">
        <f t="shared" si="1"/>
        <v>Owner_FK_ID</v>
      </c>
      <c r="D8" s="6" t="s">
        <v>13</v>
      </c>
      <c r="E8" s="4">
        <v>11.0</v>
      </c>
      <c r="F8" s="4" t="b">
        <v>0</v>
      </c>
      <c r="G8" s="121"/>
      <c r="H8" s="4" t="b">
        <v>0</v>
      </c>
      <c r="I8" s="4" t="b">
        <v>0</v>
      </c>
      <c r="J8" s="4" t="b">
        <v>0</v>
      </c>
      <c r="K8" s="4" t="b">
        <v>1</v>
      </c>
    </row>
  </sheetData>
  <dataValidations>
    <dataValidation type="list" allowBlank="1" showErrorMessage="1" sqref="D2:D8">
      <formula1>"INT,VARCHAR,DATE,TIMESTAMP,DOUBLE,DATETIME,TEXT"</formula1>
    </dataValidation>
    <dataValidation type="list" allowBlank="1" showErrorMessage="1" sqref="G2:G8">
      <formula1>"NONE,NULL,current_timestamp()"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E462"/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3" max="3" width="18.3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122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  <c r="G1" s="123" t="s">
        <v>6</v>
      </c>
      <c r="H1" s="123" t="s">
        <v>7</v>
      </c>
      <c r="I1" s="123" t="s">
        <v>8</v>
      </c>
      <c r="J1" s="123" t="s">
        <v>9</v>
      </c>
      <c r="K1" s="123" t="s">
        <v>82</v>
      </c>
    </row>
    <row r="2">
      <c r="A2" s="124" t="s">
        <v>88</v>
      </c>
      <c r="B2" s="4" t="s">
        <v>26</v>
      </c>
      <c r="C2" s="5" t="str">
        <f t="shared" ref="C2:C7" si="1">CONCATENATE(A2,"_",B2)</f>
        <v>Parking_id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124" t="s">
        <v>88</v>
      </c>
      <c r="B3" s="4" t="s">
        <v>50</v>
      </c>
      <c r="C3" s="5" t="str">
        <f t="shared" si="1"/>
        <v>Parking_number</v>
      </c>
      <c r="D3" s="9" t="s">
        <v>16</v>
      </c>
      <c r="E3" s="4">
        <v>5.0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  <row r="4">
      <c r="A4" s="125" t="s">
        <v>89</v>
      </c>
      <c r="B4" s="4" t="s">
        <v>54</v>
      </c>
      <c r="C4" s="5" t="str">
        <f t="shared" si="1"/>
        <v>Parking_status_ID_FK</v>
      </c>
      <c r="D4" s="6" t="s">
        <v>13</v>
      </c>
      <c r="E4" s="4">
        <v>11.0</v>
      </c>
      <c r="F4" s="5" t="b">
        <v>0</v>
      </c>
      <c r="G4" s="7"/>
      <c r="H4" s="4" t="b">
        <v>0</v>
      </c>
      <c r="I4" s="4" t="b">
        <v>0</v>
      </c>
      <c r="J4" s="4" t="b">
        <v>0</v>
      </c>
      <c r="K4" s="4" t="b">
        <v>1</v>
      </c>
    </row>
    <row r="5">
      <c r="A5" s="126" t="s">
        <v>90</v>
      </c>
      <c r="B5" s="4" t="s">
        <v>54</v>
      </c>
      <c r="C5" s="5" t="str">
        <f t="shared" si="1"/>
        <v>Vehicle_type_ID_FK</v>
      </c>
      <c r="D5" s="6" t="s">
        <v>13</v>
      </c>
      <c r="E5" s="4">
        <v>11.0</v>
      </c>
      <c r="F5" s="5" t="b">
        <v>0</v>
      </c>
      <c r="G5" s="7"/>
      <c r="H5" s="4" t="b">
        <v>0</v>
      </c>
      <c r="I5" s="4" t="b">
        <v>0</v>
      </c>
      <c r="J5" s="4" t="b">
        <v>0</v>
      </c>
      <c r="K5" s="4" t="b">
        <v>1</v>
      </c>
    </row>
    <row r="6">
      <c r="A6" s="127" t="s">
        <v>91</v>
      </c>
      <c r="B6" s="4" t="s">
        <v>54</v>
      </c>
      <c r="C6" s="5" t="str">
        <f t="shared" si="1"/>
        <v>Parking_type_ID_FK</v>
      </c>
      <c r="D6" s="6" t="s">
        <v>13</v>
      </c>
      <c r="E6" s="4">
        <v>11.0</v>
      </c>
      <c r="F6" s="5" t="b">
        <v>0</v>
      </c>
      <c r="G6" s="7"/>
      <c r="H6" s="4" t="b">
        <v>0</v>
      </c>
      <c r="I6" s="4" t="b">
        <v>0</v>
      </c>
      <c r="J6" s="4" t="b">
        <v>0</v>
      </c>
      <c r="K6" s="4" t="b">
        <v>1</v>
      </c>
    </row>
    <row r="7">
      <c r="A7" s="37" t="s">
        <v>11</v>
      </c>
      <c r="B7" s="4" t="s">
        <v>54</v>
      </c>
      <c r="C7" s="5" t="str">
        <f t="shared" si="1"/>
        <v>User_ID_FK</v>
      </c>
      <c r="D7" s="6" t="s">
        <v>13</v>
      </c>
      <c r="E7" s="4">
        <v>11.0</v>
      </c>
      <c r="F7" s="4" t="b">
        <v>0</v>
      </c>
      <c r="G7" s="7"/>
      <c r="H7" s="4" t="b">
        <v>0</v>
      </c>
      <c r="I7" s="4" t="b">
        <v>0</v>
      </c>
      <c r="J7" s="4" t="b">
        <v>0</v>
      </c>
      <c r="K7" s="4" t="b">
        <v>1</v>
      </c>
    </row>
  </sheetData>
  <dataValidations>
    <dataValidation type="list" allowBlank="1" showErrorMessage="1" sqref="D2:D7">
      <formula1>"INT,VARCHAR,DATE,TIMESTAMP,DOUBLE,DATETIME,TEXT"</formula1>
    </dataValidation>
    <dataValidation type="list" allowBlank="1" showErrorMessage="1" sqref="G2:G7">
      <formula1>"NONE,NULL,current_timestamp()"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3" max="3" width="18.3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128" t="s">
        <v>0</v>
      </c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29" t="s">
        <v>6</v>
      </c>
      <c r="H1" s="129" t="s">
        <v>7</v>
      </c>
      <c r="I1" s="129" t="s">
        <v>8</v>
      </c>
      <c r="J1" s="129" t="s">
        <v>9</v>
      </c>
      <c r="K1" s="129" t="s">
        <v>82</v>
      </c>
    </row>
    <row r="2">
      <c r="A2" s="126" t="s">
        <v>90</v>
      </c>
      <c r="B2" s="4" t="s">
        <v>26</v>
      </c>
      <c r="C2" s="5" t="str">
        <f t="shared" ref="C2:C8" si="1">CONCATENATE(A2,"_",B2)</f>
        <v>Vehicle_type_id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126" t="s">
        <v>90</v>
      </c>
      <c r="B3" s="4" t="s">
        <v>14</v>
      </c>
      <c r="C3" s="5" t="str">
        <f t="shared" si="1"/>
        <v>Vehicle_type_name</v>
      </c>
      <c r="D3" s="9" t="s">
        <v>16</v>
      </c>
      <c r="E3" s="4">
        <v>30.0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  <row r="4">
      <c r="A4" s="126" t="s">
        <v>90</v>
      </c>
      <c r="B4" s="4" t="s">
        <v>92</v>
      </c>
      <c r="C4" s="5" t="str">
        <f t="shared" si="1"/>
        <v>Vehicle_type_vehicle_plate</v>
      </c>
      <c r="D4" s="9" t="s">
        <v>16</v>
      </c>
      <c r="E4" s="4">
        <v>6.0</v>
      </c>
      <c r="F4" s="4" t="b">
        <v>1</v>
      </c>
      <c r="G4" s="7"/>
      <c r="H4" s="4" t="b">
        <v>0</v>
      </c>
      <c r="I4" s="4" t="b">
        <v>0</v>
      </c>
      <c r="J4" s="4" t="b">
        <v>0</v>
      </c>
      <c r="K4" s="4" t="b">
        <v>0</v>
      </c>
    </row>
    <row r="5">
      <c r="A5" s="126" t="s">
        <v>90</v>
      </c>
      <c r="B5" s="8" t="s">
        <v>93</v>
      </c>
      <c r="C5" s="10" t="str">
        <f t="shared" si="1"/>
        <v>Vehicle_type_vehicle_model</v>
      </c>
      <c r="D5" s="9" t="s">
        <v>16</v>
      </c>
      <c r="E5" s="39">
        <v>30.0</v>
      </c>
      <c r="F5" s="8" t="b">
        <v>1</v>
      </c>
      <c r="G5" s="7"/>
      <c r="H5" s="39" t="b">
        <v>0</v>
      </c>
      <c r="I5" s="39" t="b">
        <v>0</v>
      </c>
      <c r="J5" s="39" t="b">
        <v>0</v>
      </c>
      <c r="K5" s="39" t="b">
        <v>0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126" t="s">
        <v>90</v>
      </c>
      <c r="B6" s="8" t="s">
        <v>94</v>
      </c>
      <c r="C6" s="10" t="str">
        <f t="shared" si="1"/>
        <v>Vehicle_type_ vehicle_brand</v>
      </c>
      <c r="D6" s="9" t="s">
        <v>16</v>
      </c>
      <c r="E6" s="39">
        <v>30.0</v>
      </c>
      <c r="F6" s="8" t="b">
        <v>1</v>
      </c>
      <c r="G6" s="7"/>
      <c r="H6" s="39" t="b">
        <v>0</v>
      </c>
      <c r="I6" s="39" t="b">
        <v>0</v>
      </c>
      <c r="J6" s="39" t="b">
        <v>0</v>
      </c>
      <c r="K6" s="39" t="b">
        <v>0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126" t="s">
        <v>90</v>
      </c>
      <c r="B7" s="8" t="s">
        <v>95</v>
      </c>
      <c r="C7" s="10" t="str">
        <f t="shared" si="1"/>
        <v>Vehicle_type_vehicle_color</v>
      </c>
      <c r="D7" s="9" t="s">
        <v>16</v>
      </c>
      <c r="E7" s="39">
        <v>30.0</v>
      </c>
      <c r="F7" s="8" t="b">
        <v>1</v>
      </c>
      <c r="G7" s="7"/>
      <c r="H7" s="39" t="b">
        <v>0</v>
      </c>
      <c r="I7" s="39" t="b">
        <v>0</v>
      </c>
      <c r="J7" s="39" t="b">
        <v>0</v>
      </c>
      <c r="K7" s="39" t="b">
        <v>0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126" t="s">
        <v>90</v>
      </c>
      <c r="B8" s="8" t="s">
        <v>96</v>
      </c>
      <c r="C8" s="10" t="str">
        <f t="shared" si="1"/>
        <v>Vehicle_type_vehicle_engineCC</v>
      </c>
      <c r="D8" s="9" t="s">
        <v>16</v>
      </c>
      <c r="E8" s="39">
        <v>30.0</v>
      </c>
      <c r="F8" s="8" t="b">
        <v>1</v>
      </c>
      <c r="G8" s="7"/>
      <c r="H8" s="39" t="b">
        <v>0</v>
      </c>
      <c r="I8" s="39" t="b">
        <v>0</v>
      </c>
      <c r="J8" s="39" t="b">
        <v>0</v>
      </c>
      <c r="K8" s="39" t="b">
        <v>0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</sheetData>
  <dataValidations>
    <dataValidation type="list" allowBlank="1" showErrorMessage="1" sqref="D2:D8">
      <formula1>"INT,VARCHAR,DATE,TIMESTAMP,DOUBLE,DATETIME,TEXT"</formula1>
    </dataValidation>
    <dataValidation type="list" allowBlank="1" showErrorMessage="1" sqref="G2:G8">
      <formula1>"NONE,NULL,current_timestamp()"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3" max="3" width="18.3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130" t="s">
        <v>0</v>
      </c>
      <c r="B1" s="131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8</v>
      </c>
      <c r="J1" s="131" t="s">
        <v>9</v>
      </c>
      <c r="K1" s="131" t="s">
        <v>82</v>
      </c>
    </row>
    <row r="2">
      <c r="A2" s="127" t="s">
        <v>91</v>
      </c>
      <c r="B2" s="4" t="s">
        <v>26</v>
      </c>
      <c r="C2" s="5" t="str">
        <f t="shared" ref="C2:C3" si="1">CONCATENATE(A2,"_",B2)</f>
        <v>Parking_type_id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127" t="s">
        <v>91</v>
      </c>
      <c r="B3" s="4" t="s">
        <v>50</v>
      </c>
      <c r="C3" s="5" t="str">
        <f t="shared" si="1"/>
        <v>Parking_type_number</v>
      </c>
      <c r="D3" s="9" t="s">
        <v>16</v>
      </c>
      <c r="E3" s="4">
        <v>5.0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"INT,VARCHAR,DATE,TIMESTAMP,DOUBLE,DATETIME,TEXT"</formula1>
    </dataValidation>
    <dataValidation type="list" allowBlank="1" showErrorMessage="1" sqref="G2:G3">
      <formula1>"NONE,NULL,current_timestamp()"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BEF5"/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3" max="3" width="18.38"/>
    <col customWidth="1" min="4" max="4" width="13.88"/>
    <col customWidth="1" min="7" max="7" width="16.88"/>
    <col customWidth="1" min="9" max="9" width="17.5"/>
    <col customWidth="1" min="10" max="10" width="13.63"/>
    <col customWidth="1" min="11" max="11" width="14.13"/>
  </cols>
  <sheetData>
    <row r="1">
      <c r="A1" s="132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3" t="s">
        <v>82</v>
      </c>
    </row>
    <row r="2">
      <c r="A2" s="125" t="s">
        <v>89</v>
      </c>
      <c r="B2" s="4" t="s">
        <v>26</v>
      </c>
      <c r="C2" s="5" t="str">
        <f t="shared" ref="C2:C3" si="1">CONCATENATE(A2,"_",B2)</f>
        <v>Parking_status_id</v>
      </c>
      <c r="D2" s="6" t="s">
        <v>13</v>
      </c>
      <c r="E2" s="4">
        <v>11.0</v>
      </c>
      <c r="F2" s="5" t="b">
        <v>0</v>
      </c>
      <c r="G2" s="7"/>
      <c r="H2" s="4" t="b">
        <v>0</v>
      </c>
      <c r="I2" s="4" t="b">
        <v>1</v>
      </c>
      <c r="J2" s="4" t="b">
        <v>1</v>
      </c>
      <c r="K2" s="4" t="b">
        <v>0</v>
      </c>
    </row>
    <row r="3">
      <c r="A3" s="125" t="s">
        <v>89</v>
      </c>
      <c r="B3" s="4" t="s">
        <v>50</v>
      </c>
      <c r="C3" s="5" t="str">
        <f t="shared" si="1"/>
        <v>Parking_status_number</v>
      </c>
      <c r="D3" s="9" t="s">
        <v>16</v>
      </c>
      <c r="E3" s="4">
        <v>5.0</v>
      </c>
      <c r="F3" s="5" t="b">
        <v>0</v>
      </c>
      <c r="G3" s="7"/>
      <c r="H3" s="4" t="b">
        <v>0</v>
      </c>
      <c r="I3" s="4" t="b">
        <v>0</v>
      </c>
      <c r="J3" s="4" t="b">
        <v>0</v>
      </c>
      <c r="K3" s="4" t="b">
        <v>0</v>
      </c>
    </row>
  </sheetData>
  <dataValidations>
    <dataValidation type="list" allowBlank="1" showErrorMessage="1" sqref="D2:D3">
      <formula1>"INT,VARCHAR,DATE,TIMESTAMP,DOUBLE,DATETIME,TEXT"</formula1>
    </dataValidation>
    <dataValidation type="list" allowBlank="1" showErrorMessage="1" sqref="G2:G3">
      <formula1>"NONE,NULL,current_timestamp()"</formula1>
    </dataValidation>
  </dataValidations>
  <drawing r:id="rId1"/>
  <tableParts count="1">
    <tablePart r:id="rId3"/>
  </tableParts>
</worksheet>
</file>