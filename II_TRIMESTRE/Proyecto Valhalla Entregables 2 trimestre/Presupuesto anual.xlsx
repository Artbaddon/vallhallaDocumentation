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3"/>
    <sheet state="visible" name="Gastos" sheetId="2" r:id="rId4"/>
    <sheet state="visible" name="Configuración" sheetId="3" r:id="rId5"/>
    <sheet state="visible" name="Inversión" sheetId="4" r:id="rId6"/>
    <sheet state="visible" name="Resumen" sheetId="5" r:id="rId7"/>
  </sheets>
  <definedNames>
    <definedName name="StartingBalance">'Configuración'!$C$13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Total de ingresos y gastos</t>
      </text>
    </comment>
    <comment authorId="0" ref="C26">
      <text>
        <t xml:space="preserve">Este total incluye el "saldo inicial" de la pestaña "Configuración".</t>
      </text>
    </comment>
    <comment authorId="0" ref="B31">
      <text>
        <t xml:space="preserve">This formula matches the categories in column C with their locations in the 'Income' tab, then displays the resulting row number. The formula in column D uses it to calculate the values in columns D:Q. </t>
      </text>
    </comment>
    <comment authorId="0" ref="B44">
      <text>
        <t xml:space="preserve">This formula matches the categories in column C with their locations in the 'Expenses' tab, then displays the resulting row number. The formula in column D uses it to calculate the values in columns D:Q. </t>
      </text>
    </comment>
  </commentList>
</comments>
</file>

<file path=xl/sharedStrings.xml><?xml version="1.0" encoding="utf-8"?>
<sst xmlns="http://schemas.openxmlformats.org/spreadsheetml/2006/main" count="167" uniqueCount="104">
  <si>
    <t>Categoría</t>
  </si>
  <si>
    <t>Descripción</t>
  </si>
  <si>
    <t>Costo Estimado ($)</t>
  </si>
  <si>
    <t>Recursos Humanos</t>
  </si>
  <si>
    <t>Desarrollo, QA, PM, UX/UI</t>
  </si>
  <si>
    <t>Infraestructura</t>
  </si>
  <si>
    <t>Servidores, bases de datos</t>
  </si>
  <si>
    <t>Licencias y Software</t>
  </si>
  <si>
    <t>Herramientas y plataformas</t>
  </si>
  <si>
    <t>Equipos y Hardware</t>
  </si>
  <si>
    <t>Computadoras, periféricos</t>
  </si>
  <si>
    <t>Servicios Externos</t>
  </si>
  <si>
    <t>Consultorías, outsourcing</t>
  </si>
  <si>
    <t>Costos Operacionales</t>
  </si>
  <si>
    <t>Energía, internet, alquiler</t>
  </si>
  <si>
    <t>Otros Costos</t>
  </si>
  <si>
    <t>Viáticos, imprevistos</t>
  </si>
  <si>
    <t>Deuda</t>
  </si>
  <si>
    <t xml:space="preserve">Prestamos al banco </t>
  </si>
  <si>
    <t>Total Estimado</t>
  </si>
  <si>
    <t>Rol</t>
  </si>
  <si>
    <t>Tarifa por Hora ($)</t>
  </si>
  <si>
    <t>Horas Estimadas</t>
  </si>
  <si>
    <t>Cantidad de Recursos</t>
  </si>
  <si>
    <t>Costo Total ($)</t>
  </si>
  <si>
    <t>Resumen</t>
  </si>
  <si>
    <t>Desarrollador de Software Junior</t>
  </si>
  <si>
    <t>Días Laborales</t>
  </si>
  <si>
    <t>Diseñador</t>
  </si>
  <si>
    <t>Horas Laborales</t>
  </si>
  <si>
    <t>Analista de Requerimientos</t>
  </si>
  <si>
    <t>Días Totales</t>
  </si>
  <si>
    <t>QA Junior</t>
  </si>
  <si>
    <t>Meses</t>
  </si>
  <si>
    <t>Capacitadores</t>
  </si>
  <si>
    <t>Soporte TIC de Infraestructura</t>
  </si>
  <si>
    <t>Abogado</t>
  </si>
  <si>
    <t>OUTSOURCING</t>
  </si>
  <si>
    <t>Contador</t>
  </si>
  <si>
    <t>Totales</t>
  </si>
  <si>
    <t>Costo Real ($)</t>
  </si>
  <si>
    <t>Desviación ($)</t>
  </si>
  <si>
    <t>% Variación</t>
  </si>
  <si>
    <t>Total</t>
  </si>
  <si>
    <t>Fecha de Pago</t>
  </si>
  <si>
    <t>Concepto</t>
  </si>
  <si>
    <t>Monto ($)</t>
  </si>
  <si>
    <t>Estado (Pendiente/Pagado)</t>
  </si>
  <si>
    <t>Gastos</t>
  </si>
  <si>
    <t>Promedio</t>
  </si>
  <si>
    <t>Total al mes:</t>
  </si>
  <si>
    <t>Hosting Producción</t>
  </si>
  <si>
    <t>Dominio  Producción</t>
  </si>
  <si>
    <t>SSL</t>
  </si>
  <si>
    <t>Dominio  pruebas</t>
  </si>
  <si>
    <t>Hosting Pruebas</t>
  </si>
  <si>
    <t>Licencias y software</t>
  </si>
  <si>
    <t>Software</t>
  </si>
  <si>
    <t>Hardware</t>
  </si>
  <si>
    <t>Internet</t>
  </si>
  <si>
    <t>Electricidad</t>
  </si>
  <si>
    <t>Otros</t>
  </si>
  <si>
    <t>Imprevistos</t>
  </si>
  <si>
    <t xml:space="preserve">Préstamos </t>
  </si>
  <si>
    <t>OPeración</t>
  </si>
  <si>
    <t>Arriendo</t>
  </si>
  <si>
    <t>Impuestos</t>
  </si>
  <si>
    <t>DIAN</t>
  </si>
  <si>
    <t>Camara de Comerción</t>
  </si>
  <si>
    <t>Licencias</t>
  </si>
  <si>
    <t>Salud/Pensión</t>
  </si>
  <si>
    <t xml:space="preserve">Salud </t>
  </si>
  <si>
    <t>Pensión</t>
  </si>
  <si>
    <t>Arl</t>
  </si>
  <si>
    <t xml:space="preserve">Caja de Compensación </t>
  </si>
  <si>
    <t>Hoja de control del presupuesto anual</t>
  </si>
  <si>
    <t xml:space="preserve">Planifica y controla tu gasto mensual durante todo el año. </t>
  </si>
  <si>
    <t>Cómo usar esta plantilla</t>
  </si>
  <si>
    <t>1.</t>
  </si>
  <si>
    <t>Para empezar, introduce tu saldo inicial en la fila 13 (más abajo).</t>
  </si>
  <si>
    <t>2.</t>
  </si>
  <si>
    <t xml:space="preserve">A continuación, rellena las hojas "Gastos" e "Ingresos". </t>
  </si>
  <si>
    <t>3.</t>
  </si>
  <si>
    <t>Puedes eliminar categorías de esas hojas o cambiarles el nombre. Los cambios se reflejan automáticamente en la hoja "Resumen", donde se muestra una vista general del gasto previsto frente al real.</t>
  </si>
  <si>
    <t>Introducir el saldo</t>
  </si>
  <si>
    <t>Saldo inicial:</t>
  </si>
  <si>
    <t>Ingresos</t>
  </si>
  <si>
    <t>Inversión</t>
  </si>
  <si>
    <t>Prestamo Bancario</t>
  </si>
  <si>
    <t>Fondo Emprender</t>
  </si>
  <si>
    <t>Transferencia de ahorros</t>
  </si>
  <si>
    <t>Ingresos por intereses</t>
  </si>
  <si>
    <t>Dividendos</t>
  </si>
  <si>
    <t>Donaciones</t>
  </si>
  <si>
    <t>Reembolsos</t>
  </si>
  <si>
    <t>INFORMACIÓN SOBRE ESTA HOJA</t>
  </si>
  <si>
    <t>NOTA</t>
  </si>
  <si>
    <t>En esta hoja se muestra un resumen del gasto en función de los datos introducidos en las hojas "Gastos" e "Ingresos".</t>
  </si>
  <si>
    <t>No edites esta hoja.</t>
  </si>
  <si>
    <t>Antes de empezar, asegúrate de que has introducido un saldo inicial en la hoja "Configuración".</t>
  </si>
  <si>
    <t>Contiene fórmulas y se actualiza automáticamente.</t>
  </si>
  <si>
    <t>Ahorro neto</t>
  </si>
  <si>
    <t>Saldo final</t>
  </si>
  <si>
    <t>N.º de fila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</si>
</sst>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 $]#,##0"/>
    <numFmt numFmtId="165" formatCode="&quot;$&quot;#,##0"/>
    <numFmt numFmtId="166" formatCode="mmm"/>
    <numFmt numFmtId="167" formatCode="#,##0.00\ [$€-1]"/>
    <numFmt numFmtId="168" formatCode="#,##0[$ €]"/>
    <numFmt numFmtId="169" formatCode="mmm&quot; '&quot;yy"/>
    <numFmt numFmtId="170" formatCode="[$€]#,##0"/>
  </numFmts>
  <fonts count="64">
    <font>
      <sz val="10.0"/>
      <color rgb="FF000000"/>
      <name val="Arial"/>
    </font>
    <font>
      <b/>
      <sz val="11.0"/>
      <color rgb="FFFFFFFF"/>
      <name val="Arial"/>
    </font>
    <font>
      <sz val="11.0"/>
      <color rgb="FF000000"/>
      <name val="Arial"/>
    </font>
    <font>
      <b/>
      <sz val="11.0"/>
      <color rgb="FF000000"/>
      <name val="Arial"/>
    </font>
    <font/>
    <font>
      <b/>
      <sz val="9.0"/>
      <color rgb="FFFFFFFF"/>
      <name val="Arial"/>
    </font>
    <font>
      <b/>
    </font>
    <font>
      <b/>
      <i/>
      <sz val="11.0"/>
      <color rgb="FF334960"/>
      <name val="Lato"/>
    </font>
    <font>
      <sz val="10.0"/>
      <color rgb="FF576475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334960"/>
      <name val="Lato"/>
    </font>
    <font>
      <b/>
      <i/>
      <sz val="9.0"/>
      <color rgb="FF576475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8.0"/>
      <color rgb="FFFFFFFF"/>
      <name val="Lato"/>
    </font>
    <font>
      <b/>
      <sz val="8.0"/>
      <color rgb="FFFFFFFF"/>
      <name val="Lato"/>
    </font>
    <font>
      <sz val="9.0"/>
      <color rgb="FFD9D9D9"/>
      <name val="Lato"/>
    </font>
    <font>
      <sz val="8.0"/>
      <color rgb="FF576475"/>
      <name val="Lato"/>
    </font>
    <font>
      <i/>
      <sz val="8.0"/>
      <color rgb="FF6C7687"/>
      <name val="Lato"/>
    </font>
    <font>
      <i/>
      <sz val="9.0"/>
      <color rgb="FF334960"/>
      <name val="Lato"/>
    </font>
    <font>
      <sz val="8.0"/>
      <color rgb="FFD9D9D9"/>
      <name val="Lato"/>
    </font>
    <font>
      <i/>
      <sz val="8.0"/>
      <color rgb="FF334960"/>
      <name val="Lato"/>
    </font>
    <font>
      <sz val="9.0"/>
      <color rgb="FF576475"/>
      <name val="Lato"/>
    </font>
    <font>
      <i/>
      <sz val="9.0"/>
      <color rgb="FFA7B0BF"/>
      <name val="Lato"/>
    </font>
    <font>
      <i/>
      <sz val="8.0"/>
      <color rgb="FFA7B0BF"/>
      <name val="Lato"/>
    </font>
    <font>
      <i/>
      <sz val="9.0"/>
      <color rgb="FF6C7687"/>
      <name val="Lato"/>
    </font>
    <font>
      <sz val="9.0"/>
      <color rgb="FF334960"/>
      <name val="Lato"/>
    </font>
    <font>
      <b/>
      <color rgb="FF576475"/>
      <name val="Lato"/>
    </font>
    <font>
      <name val="Lato"/>
    </font>
    <font>
      <b/>
      <sz val="18.0"/>
      <color rgb="FF576475"/>
      <name val="Lato"/>
    </font>
    <font>
      <b/>
      <sz val="22.0"/>
      <color rgb="FFF46524"/>
      <name val="Raleway"/>
    </font>
    <font>
      <b/>
      <sz val="17.0"/>
      <color rgb="FFF46524"/>
      <name val="Lato"/>
    </font>
    <font>
      <sz val="18.0"/>
      <color rgb="FFFF3800"/>
      <name val="Lato"/>
    </font>
    <font>
      <i/>
      <color rgb="FF576475"/>
      <name val="Lato"/>
    </font>
    <font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i/>
      <name val="Lato"/>
    </font>
    <font>
      <b/>
      <sz val="12.0"/>
      <name val="Lato"/>
    </font>
    <font>
      <sz val="12.0"/>
      <name val="Lato"/>
    </font>
    <font>
      <b/>
      <sz val="10.0"/>
      <color rgb="FF222222"/>
      <name val="Lato"/>
    </font>
    <font>
      <b/>
      <sz val="9.0"/>
      <color rgb="FF222222"/>
      <name val="Lato"/>
    </font>
    <font>
      <sz val="6.0"/>
      <name val="Lato"/>
    </font>
    <font>
      <sz val="10.0"/>
      <color rgb="FF434343"/>
      <name val="Lato"/>
    </font>
    <font>
      <b/>
      <sz val="18.0"/>
      <color rgb="FFF46524"/>
      <name val="La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Lato"/>
    </font>
    <font>
      <b/>
      <i/>
      <sz val="11.0"/>
      <color rgb="FF666666"/>
      <name val="Lato"/>
    </font>
    <font>
      <b/>
      <color rgb="FF334960"/>
      <name val="Lato"/>
    </font>
    <font>
      <i/>
      <sz val="10.0"/>
      <color rgb="FF6C7687"/>
      <name val="Lato"/>
    </font>
    <font>
      <color rgb="FF334960"/>
      <name val="Lato"/>
    </font>
    <font>
      <b/>
      <color rgb="FF222222"/>
      <name val="Lato"/>
    </font>
    <font>
      <color rgb="FF222222"/>
      <name val="Lato"/>
    </font>
    <font>
      <i/>
      <color rgb="FF6C7687"/>
      <name val="Lato"/>
    </font>
    <font>
      <b/>
      <sz val="18.0"/>
      <color rgb="FF334960"/>
      <name val="Lato"/>
    </font>
    <font>
      <sz val="11.0"/>
      <color rgb="FF334960"/>
      <name val="Lato"/>
    </font>
    <font>
      <i/>
      <sz val="9.0"/>
      <color rgb="FF576475"/>
      <name val="Lato"/>
    </font>
    <font>
      <sz val="11.0"/>
      <color rgb="FF576475"/>
      <name val="Lato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334960"/>
        <bgColor rgb="FF334960"/>
      </patternFill>
    </fill>
    <fill>
      <patternFill patternType="solid">
        <fgColor rgb="FF6C7687"/>
        <bgColor rgb="FF6C768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</border>
    <border>
      <left style="hair">
        <color rgb="FFFFFFFF"/>
      </left>
      <right style="thin">
        <color rgb="FFFFFFFF"/>
      </right>
      <top style="hair">
        <color rgb="FFFFFFFF"/>
      </top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bottom style="dotted">
        <color rgb="FFA7B0BF"/>
      </bottom>
    </border>
    <border>
      <top style="dotted">
        <color rgb="FFA7B0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164" xfId="0" applyAlignment="1" applyBorder="1" applyFont="1" applyNumberFormat="1">
      <alignment horizontal="right" readingOrder="0" shrinkToFit="0" wrapText="1"/>
    </xf>
    <xf borderId="2" fillId="2" fontId="1" numFmtId="0" xfId="0" applyAlignment="1" applyBorder="1" applyFont="1">
      <alignment horizontal="left" readingOrder="0" shrinkToFit="0" wrapText="1"/>
    </xf>
    <xf borderId="3" fillId="0" fontId="4" numFmtId="0" xfId="0" applyBorder="1" applyFont="1"/>
    <xf borderId="1" fillId="2" fontId="1" numFmtId="164" xfId="0" applyAlignment="1" applyBorder="1" applyFont="1" applyNumberFormat="1">
      <alignment horizontal="right" readingOrder="0" shrinkToFit="0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righ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0" fontId="3" numFmtId="9" xfId="0" applyAlignment="1" applyBorder="1" applyFont="1" applyNumberFormat="1">
      <alignment horizontal="right" readingOrder="0" shrinkToFit="0" vertical="center" wrapText="1"/>
    </xf>
    <xf borderId="5" fillId="3" fontId="7" numFmtId="0" xfId="0" applyAlignment="1" applyBorder="1" applyFill="1" applyFont="1">
      <alignment horizontal="right" vertical="center"/>
    </xf>
    <xf borderId="5" fillId="3" fontId="8" numFmtId="0" xfId="0" applyAlignment="1" applyBorder="1" applyFont="1">
      <alignment horizontal="left" vertical="center"/>
    </xf>
    <xf borderId="5" fillId="3" fontId="9" numFmtId="165" xfId="0" applyAlignment="1" applyBorder="1" applyFont="1" applyNumberFormat="1">
      <alignment horizontal="right" vertical="center"/>
    </xf>
    <xf borderId="5" fillId="3" fontId="10" numFmtId="165" xfId="0" applyAlignment="1" applyBorder="1" applyFont="1" applyNumberFormat="1">
      <alignment horizontal="right" vertical="center"/>
    </xf>
    <xf borderId="5" fillId="3" fontId="10" numFmtId="0" xfId="0" applyAlignment="1" applyBorder="1" applyFont="1">
      <alignment horizontal="right" vertical="center"/>
    </xf>
    <xf borderId="6" fillId="0" fontId="7" numFmtId="0" xfId="0" applyAlignment="1" applyBorder="1" applyFont="1">
      <alignment horizontal="right" readingOrder="0" vertical="bottom"/>
    </xf>
    <xf borderId="6" fillId="0" fontId="11" numFmtId="0" xfId="0" applyAlignment="1" applyBorder="1" applyFont="1">
      <alignment horizontal="left" readingOrder="0" vertical="bottom"/>
    </xf>
    <xf borderId="6" fillId="0" fontId="12" numFmtId="166" xfId="0" applyAlignment="1" applyBorder="1" applyFont="1" applyNumberFormat="1">
      <alignment horizontal="right" readingOrder="0" vertical="bottom"/>
    </xf>
    <xf borderId="6" fillId="0" fontId="13" numFmtId="165" xfId="0" applyAlignment="1" applyBorder="1" applyFont="1" applyNumberFormat="1">
      <alignment horizontal="right" readingOrder="0" vertical="bottom"/>
    </xf>
    <xf borderId="6" fillId="0" fontId="13" numFmtId="0" xfId="0" applyAlignment="1" applyBorder="1" applyFont="1">
      <alignment horizontal="right" readingOrder="0" vertical="bottom"/>
    </xf>
    <xf borderId="7" fillId="0" fontId="14" numFmtId="0" xfId="0" applyAlignment="1" applyBorder="1" applyFont="1">
      <alignment horizontal="right" readingOrder="0" shrinkToFit="0" vertical="center" wrapText="1"/>
    </xf>
    <xf borderId="8" fillId="0" fontId="14" numFmtId="0" xfId="0" applyAlignment="1" applyBorder="1" applyFont="1">
      <alignment horizontal="right" readingOrder="0" vertical="center"/>
    </xf>
    <xf borderId="0" fillId="4" fontId="15" numFmtId="0" xfId="0" applyAlignment="1" applyFill="1" applyFont="1">
      <alignment horizontal="left" readingOrder="0" vertical="center"/>
    </xf>
    <xf borderId="0" fillId="4" fontId="16" numFmtId="164" xfId="0" applyAlignment="1" applyFont="1" applyNumberFormat="1">
      <alignment horizontal="right" readingOrder="0" vertical="center"/>
    </xf>
    <xf borderId="0" fillId="4" fontId="17" numFmtId="164" xfId="0" applyAlignment="1" applyFont="1" applyNumberFormat="1">
      <alignment horizontal="right" readingOrder="0" vertical="center"/>
    </xf>
    <xf borderId="9" fillId="0" fontId="18" numFmtId="165" xfId="0" applyAlignment="1" applyBorder="1" applyFont="1" applyNumberFormat="1">
      <alignment horizontal="right" readingOrder="0" vertical="center"/>
    </xf>
    <xf borderId="10" fillId="0" fontId="7" numFmtId="0" xfId="0" applyAlignment="1" applyBorder="1" applyFont="1">
      <alignment horizontal="right" readingOrder="0" vertical="center"/>
    </xf>
    <xf borderId="11" fillId="0" fontId="7" numFmtId="0" xfId="0" applyAlignment="1" applyBorder="1" applyFont="1">
      <alignment horizontal="right" readingOrder="0" vertical="center"/>
    </xf>
    <xf borderId="0" fillId="0" fontId="9" numFmtId="0" xfId="0" applyAlignment="1" applyFont="1">
      <alignment horizontal="left" readingOrder="0" vertical="center"/>
    </xf>
    <xf borderId="0" fillId="0" fontId="19" numFmtId="164" xfId="0" applyAlignment="1" applyFont="1" applyNumberFormat="1">
      <alignment horizontal="right" readingOrder="0" vertical="center"/>
    </xf>
    <xf borderId="0" fillId="0" fontId="20" numFmtId="164" xfId="0" applyAlignment="1" applyFont="1" applyNumberFormat="1">
      <alignment horizontal="right" vertical="center"/>
    </xf>
    <xf borderId="12" fillId="0" fontId="21" numFmtId="165" xfId="0" applyAlignment="1" applyBorder="1" applyFont="1" applyNumberFormat="1">
      <alignment horizontal="right" vertical="center"/>
    </xf>
    <xf borderId="13" fillId="0" fontId="7" numFmtId="0" xfId="0" applyAlignment="1" applyBorder="1" applyFont="1">
      <alignment horizontal="right" readingOrder="0" vertical="center"/>
    </xf>
    <xf borderId="14" fillId="0" fontId="7" numFmtId="0" xfId="0" applyAlignment="1" applyBorder="1" applyFont="1">
      <alignment horizontal="right" readingOrder="0" vertical="center"/>
    </xf>
    <xf borderId="12" fillId="0" fontId="7" numFmtId="0" xfId="0" applyAlignment="1" applyBorder="1" applyFont="1">
      <alignment horizontal="right" readingOrder="0" vertical="center"/>
    </xf>
    <xf borderId="12" fillId="0" fontId="14" numFmtId="0" xfId="0" applyAlignment="1" applyBorder="1" applyFont="1">
      <alignment horizontal="right" readingOrder="0" vertical="center"/>
    </xf>
    <xf borderId="9" fillId="0" fontId="22" numFmtId="165" xfId="0" applyAlignment="1" applyBorder="1" applyFont="1" applyNumberFormat="1">
      <alignment horizontal="right" readingOrder="0" vertical="center"/>
    </xf>
    <xf borderId="12" fillId="5" fontId="7" numFmtId="0" xfId="0" applyAlignment="1" applyBorder="1" applyFill="1" applyFont="1">
      <alignment horizontal="right" readingOrder="0" vertical="center"/>
    </xf>
    <xf borderId="0" fillId="0" fontId="19" numFmtId="164" xfId="0" applyAlignment="1" applyFont="1" applyNumberFormat="1">
      <alignment horizontal="right" readingOrder="0" vertical="center"/>
    </xf>
    <xf borderId="0" fillId="0" fontId="20" numFmtId="164" xfId="0" applyAlignment="1" applyFont="1" applyNumberFormat="1">
      <alignment horizontal="right" vertical="center"/>
    </xf>
    <xf borderId="9" fillId="0" fontId="23" numFmtId="165" xfId="0" applyAlignment="1" applyBorder="1" applyFont="1" applyNumberFormat="1">
      <alignment horizontal="right" vertical="center"/>
    </xf>
    <xf borderId="12" fillId="0" fontId="23" numFmtId="165" xfId="0" applyAlignment="1" applyBorder="1" applyFont="1" applyNumberFormat="1">
      <alignment horizontal="right" vertical="center"/>
    </xf>
    <xf borderId="7" fillId="0" fontId="14" numFmtId="0" xfId="0" applyAlignment="1" applyBorder="1" applyFont="1">
      <alignment horizontal="right" readingOrder="0" vertical="center"/>
    </xf>
    <xf borderId="0" fillId="0" fontId="7" numFmtId="0" xfId="0" applyAlignment="1" applyFont="1">
      <alignment horizontal="right" readingOrder="0" vertical="center"/>
    </xf>
    <xf borderId="0" fillId="0" fontId="24" numFmtId="164" xfId="0" applyAlignment="1" applyFont="1" applyNumberFormat="1">
      <alignment horizontal="right" readingOrder="0" vertical="center"/>
    </xf>
    <xf borderId="0" fillId="0" fontId="25" numFmtId="164" xfId="0" applyAlignment="1" applyFont="1" applyNumberFormat="1">
      <alignment horizontal="right" vertical="center"/>
    </xf>
    <xf borderId="9" fillId="0" fontId="21" numFmtId="165" xfId="0" applyAlignment="1" applyBorder="1" applyFont="1" applyNumberFormat="1">
      <alignment horizontal="right" vertical="center"/>
    </xf>
    <xf borderId="7" fillId="0" fontId="14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left" vertical="center"/>
    </xf>
    <xf borderId="0" fillId="0" fontId="26" numFmtId="164" xfId="0" applyAlignment="1" applyFont="1" applyNumberFormat="1">
      <alignment horizontal="right" vertical="center"/>
    </xf>
    <xf borderId="15" fillId="0" fontId="7" numFmtId="0" xfId="0" applyAlignment="1" applyBorder="1" applyFont="1">
      <alignment horizontal="right" readingOrder="0" vertical="center"/>
    </xf>
    <xf borderId="16" fillId="0" fontId="7" numFmtId="0" xfId="0" applyAlignment="1" applyBorder="1" applyFont="1">
      <alignment horizontal="right" readingOrder="0" vertical="center"/>
    </xf>
    <xf borderId="10" fillId="0" fontId="7" numFmtId="0" xfId="0" applyAlignment="1" applyBorder="1" applyFont="1">
      <alignment horizontal="right" vertical="center"/>
    </xf>
    <xf borderId="11" fillId="0" fontId="7" numFmtId="0" xfId="0" applyAlignment="1" applyBorder="1" applyFont="1">
      <alignment horizontal="right" vertical="center"/>
    </xf>
    <xf borderId="0" fillId="0" fontId="8" numFmtId="0" xfId="0" applyAlignment="1" applyFont="1">
      <alignment horizontal="left" vertical="center"/>
    </xf>
    <xf borderId="0" fillId="0" fontId="19" numFmtId="164" xfId="0" applyAlignment="1" applyFont="1" applyNumberFormat="1">
      <alignment horizontal="right" vertical="center"/>
    </xf>
    <xf borderId="10" fillId="0" fontId="7" numFmtId="0" xfId="0" applyAlignment="1" applyBorder="1" applyFont="1">
      <alignment horizontal="right" vertical="center"/>
    </xf>
    <xf borderId="11" fillId="0" fontId="7" numFmtId="0" xfId="0" applyAlignment="1" applyBorder="1" applyFont="1">
      <alignment horizontal="right" vertical="center"/>
    </xf>
    <xf borderId="0" fillId="0" fontId="24" numFmtId="164" xfId="0" applyAlignment="1" applyFont="1" applyNumberFormat="1">
      <alignment horizontal="right" vertical="center"/>
    </xf>
    <xf borderId="0" fillId="0" fontId="27" numFmtId="164" xfId="0" applyAlignment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28" numFmtId="165" xfId="0" applyAlignment="1" applyFont="1" applyNumberFormat="1">
      <alignment horizontal="right" readingOrder="0" vertical="center"/>
    </xf>
    <xf borderId="0" fillId="0" fontId="21" numFmtId="165" xfId="0" applyAlignment="1" applyFont="1" applyNumberFormat="1">
      <alignment horizontal="right" vertical="center"/>
    </xf>
    <xf borderId="0" fillId="3" fontId="29" numFmtId="49" xfId="0" applyAlignment="1" applyFont="1" applyNumberFormat="1">
      <alignment horizontal="left" vertical="top"/>
    </xf>
    <xf borderId="0" fillId="3" fontId="30" numFmtId="0" xfId="0" applyAlignment="1" applyFont="1">
      <alignment horizontal="left"/>
    </xf>
    <xf borderId="0" fillId="3" fontId="30" numFmtId="0" xfId="0" applyAlignment="1" applyFont="1">
      <alignment horizontal="center"/>
    </xf>
    <xf borderId="0" fillId="0" fontId="31" numFmtId="49" xfId="0" applyAlignment="1" applyFont="1" applyNumberFormat="1">
      <alignment horizontal="left" vertical="top"/>
    </xf>
    <xf borderId="0" fillId="0" fontId="32" numFmtId="0" xfId="0" applyAlignment="1" applyFont="1">
      <alignment horizontal="left" readingOrder="0"/>
    </xf>
    <xf borderId="0" fillId="0" fontId="33" numFmtId="0" xfId="0" applyAlignment="1" applyFont="1">
      <alignment horizontal="center" readingOrder="0"/>
    </xf>
    <xf borderId="0" fillId="0" fontId="34" numFmtId="0" xfId="0" applyAlignment="1" applyFont="1">
      <alignment horizontal="left"/>
    </xf>
    <xf borderId="0" fillId="0" fontId="29" numFmtId="49" xfId="0" applyAlignment="1" applyFont="1" applyNumberFormat="1">
      <alignment readingOrder="0" vertical="top"/>
    </xf>
    <xf borderId="0" fillId="0" fontId="35" numFmtId="0" xfId="0" applyAlignment="1" applyFont="1">
      <alignment readingOrder="0" shrinkToFit="0" vertical="center" wrapText="1"/>
    </xf>
    <xf borderId="0" fillId="0" fontId="36" numFmtId="0" xfId="0" applyFont="1"/>
    <xf borderId="0" fillId="0" fontId="29" numFmtId="49" xfId="0" applyAlignment="1" applyFont="1" applyNumberFormat="1">
      <alignment horizontal="left" vertical="top"/>
    </xf>
    <xf borderId="17" fillId="0" fontId="30" numFmtId="0" xfId="0" applyAlignment="1" applyBorder="1" applyFont="1">
      <alignment horizontal="left"/>
    </xf>
    <xf borderId="17" fillId="0" fontId="30" numFmtId="0" xfId="0" applyAlignment="1" applyBorder="1" applyFont="1">
      <alignment horizontal="center"/>
    </xf>
    <xf borderId="0" fillId="0" fontId="30" numFmtId="0" xfId="0" applyAlignment="1" applyFont="1">
      <alignment horizontal="left"/>
    </xf>
    <xf borderId="0" fillId="0" fontId="30" numFmtId="0" xfId="0" applyAlignment="1" applyFont="1">
      <alignment horizontal="center"/>
    </xf>
    <xf borderId="0" fillId="0" fontId="37" numFmtId="49" xfId="0" applyAlignment="1" applyFont="1" applyNumberFormat="1">
      <alignment horizontal="left" readingOrder="0" vertical="top"/>
    </xf>
    <xf borderId="0" fillId="0" fontId="38" numFmtId="0" xfId="0" applyAlignment="1" applyFont="1">
      <alignment horizontal="left" readingOrder="0" vertical="center"/>
    </xf>
    <xf borderId="0" fillId="0" fontId="30" numFmtId="0" xfId="0" applyFont="1"/>
    <xf borderId="0" fillId="0" fontId="29" numFmtId="49" xfId="0" applyAlignment="1" applyFont="1" applyNumberFormat="1">
      <alignment horizontal="right" readingOrder="0" vertical="top"/>
    </xf>
    <xf borderId="0" fillId="5" fontId="8" numFmtId="0" xfId="0" applyAlignment="1" applyFont="1">
      <alignment horizontal="left" readingOrder="0" shrinkToFit="0" vertical="top" wrapText="1"/>
    </xf>
    <xf borderId="0" fillId="0" fontId="30" numFmtId="167" xfId="0" applyAlignment="1" applyFont="1" applyNumberFormat="1">
      <alignment horizontal="left" vertical="center"/>
    </xf>
    <xf borderId="0" fillId="0" fontId="30" numFmtId="0" xfId="0" applyAlignment="1" applyFont="1">
      <alignment horizontal="left" vertical="center"/>
    </xf>
    <xf borderId="0" fillId="0" fontId="29" numFmtId="0" xfId="0" applyAlignment="1" applyFont="1">
      <alignment readingOrder="0" vertical="center"/>
    </xf>
    <xf borderId="0" fillId="0" fontId="29" numFmtId="164" xfId="0" applyAlignment="1" applyFont="1" applyNumberFormat="1">
      <alignment horizontal="left" readingOrder="0" vertical="center"/>
    </xf>
    <xf borderId="0" fillId="0" fontId="36" numFmtId="165" xfId="0" applyAlignment="1" applyFont="1" applyNumberFormat="1">
      <alignment horizontal="center" readingOrder="0" vertical="center"/>
    </xf>
    <xf borderId="0" fillId="0" fontId="36" numFmtId="0" xfId="0" applyAlignment="1" applyFont="1">
      <alignment vertical="center"/>
    </xf>
    <xf borderId="0" fillId="0" fontId="36" numFmtId="0" xfId="0" applyAlignment="1" applyFont="1">
      <alignment horizontal="center"/>
    </xf>
    <xf borderId="0" fillId="0" fontId="24" numFmtId="168" xfId="0" applyAlignment="1" applyFont="1" applyNumberFormat="1">
      <alignment horizontal="right" readingOrder="0" vertical="center"/>
    </xf>
    <xf borderId="0" fillId="0" fontId="27" numFmtId="168" xfId="0" applyAlignment="1" applyFont="1" applyNumberFormat="1">
      <alignment horizontal="right" vertical="center"/>
    </xf>
    <xf borderId="0" fillId="0" fontId="24" numFmtId="165" xfId="0" applyAlignment="1" applyFont="1" applyNumberFormat="1">
      <alignment horizontal="right" readingOrder="0" vertical="center"/>
    </xf>
    <xf borderId="0" fillId="0" fontId="24" numFmtId="165" xfId="0" applyAlignment="1" applyFont="1" applyNumberFormat="1">
      <alignment horizontal="right" vertical="center"/>
    </xf>
    <xf borderId="0" fillId="0" fontId="25" numFmtId="165" xfId="0" applyAlignment="1" applyFont="1" applyNumberFormat="1">
      <alignment horizontal="right" vertical="center"/>
    </xf>
    <xf borderId="0" fillId="3" fontId="39" numFmtId="164" xfId="0" applyAlignment="1" applyFont="1" applyNumberFormat="1">
      <alignment vertical="center"/>
    </xf>
    <xf borderId="0" fillId="3" fontId="40" numFmtId="0" xfId="0" applyAlignment="1" applyFont="1">
      <alignment horizontal="right" vertical="center"/>
    </xf>
    <xf borderId="0" fillId="3" fontId="41" numFmtId="0" xfId="0" applyAlignment="1" applyFont="1">
      <alignment vertical="bottom"/>
    </xf>
    <xf borderId="0" fillId="3" fontId="30" numFmtId="0" xfId="0" applyAlignment="1" applyFont="1">
      <alignment horizontal="left" vertical="center"/>
    </xf>
    <xf borderId="0" fillId="3" fontId="42" numFmtId="0" xfId="0" applyAlignment="1" applyFont="1">
      <alignment horizontal="left" vertical="center"/>
    </xf>
    <xf borderId="17" fillId="0" fontId="41" numFmtId="0" xfId="0" applyAlignment="1" applyBorder="1" applyFont="1">
      <alignment vertical="bottom"/>
    </xf>
    <xf borderId="17" fillId="0" fontId="40" numFmtId="0" xfId="0" applyAlignment="1" applyBorder="1" applyFont="1">
      <alignment horizontal="right" vertical="center"/>
    </xf>
    <xf borderId="17" fillId="0" fontId="30" numFmtId="0" xfId="0" applyAlignment="1" applyBorder="1" applyFont="1">
      <alignment vertical="center"/>
    </xf>
    <xf borderId="17" fillId="0" fontId="42" numFmtId="0" xfId="0" applyAlignment="1" applyBorder="1" applyFont="1">
      <alignment vertical="center"/>
    </xf>
    <xf borderId="0" fillId="0" fontId="39" numFmtId="0" xfId="0" applyAlignment="1" applyFont="1">
      <alignment vertical="center"/>
    </xf>
    <xf borderId="0" fillId="0" fontId="40" numFmtId="0" xfId="0" applyAlignment="1" applyFont="1">
      <alignment horizontal="right" vertical="center"/>
    </xf>
    <xf borderId="0" fillId="0" fontId="43" numFmtId="0" xfId="0" applyAlignment="1" applyFont="1">
      <alignment readingOrder="0" vertical="bottom"/>
    </xf>
    <xf borderId="0" fillId="0" fontId="44" numFmtId="0" xfId="0" applyAlignment="1" applyFont="1">
      <alignment vertical="bottom"/>
    </xf>
    <xf borderId="0" fillId="0" fontId="44" numFmtId="0" xfId="0" applyFont="1"/>
    <xf borderId="0" fillId="0" fontId="43" numFmtId="0" xfId="0" applyAlignment="1" applyFont="1">
      <alignment horizontal="left" readingOrder="0" vertical="bottom"/>
    </xf>
    <xf borderId="0" fillId="0" fontId="41" numFmtId="0" xfId="0" applyAlignment="1" applyFont="1">
      <alignment vertical="bottom"/>
    </xf>
    <xf borderId="0" fillId="0" fontId="30" numFmtId="0" xfId="0" applyAlignment="1" applyFont="1">
      <alignment vertical="center"/>
    </xf>
    <xf borderId="0" fillId="0" fontId="42" numFmtId="0" xfId="0" applyAlignment="1" applyFont="1">
      <alignment vertical="center"/>
    </xf>
    <xf borderId="0" fillId="0" fontId="41" numFmtId="0" xfId="0" applyAlignment="1" applyFont="1">
      <alignment horizontal="left" readingOrder="0" shrinkToFit="0" vertical="center" wrapText="0"/>
    </xf>
    <xf borderId="0" fillId="0" fontId="41" numFmtId="0" xfId="0" applyAlignment="1" applyFont="1">
      <alignment vertical="center"/>
    </xf>
    <xf borderId="0" fillId="6" fontId="45" numFmtId="0" xfId="0" applyAlignment="1" applyFill="1" applyFont="1">
      <alignment horizontal="left" readingOrder="0" vertical="center"/>
    </xf>
    <xf borderId="0" fillId="0" fontId="46" numFmtId="0" xfId="0" applyAlignment="1" applyFont="1">
      <alignment horizontal="left" readingOrder="0" vertical="center"/>
    </xf>
    <xf borderId="0" fillId="5" fontId="41" numFmtId="0" xfId="0" applyAlignment="1" applyFont="1">
      <alignment horizontal="left" readingOrder="0" vertical="top"/>
    </xf>
    <xf borderId="0" fillId="5" fontId="41" numFmtId="0" xfId="0" applyAlignment="1" applyFont="1">
      <alignment vertical="top"/>
    </xf>
    <xf borderId="0" fillId="0" fontId="41" numFmtId="0" xfId="0" applyAlignment="1" applyFont="1">
      <alignment vertical="top"/>
    </xf>
    <xf borderId="0" fillId="0" fontId="47" numFmtId="0" xfId="0" applyAlignment="1" applyFont="1">
      <alignment vertical="top"/>
    </xf>
    <xf borderId="0" fillId="0" fontId="41" numFmtId="0" xfId="0" applyFont="1"/>
    <xf borderId="0" fillId="0" fontId="48" numFmtId="0" xfId="0" applyAlignment="1" applyFont="1">
      <alignment horizontal="left" readingOrder="0" vertical="top"/>
    </xf>
    <xf borderId="0" fillId="0" fontId="30" numFmtId="0" xfId="0" applyAlignment="1" applyFont="1">
      <alignment vertical="top"/>
    </xf>
    <xf borderId="0" fillId="0" fontId="42" numFmtId="0" xfId="0" applyAlignment="1" applyFont="1">
      <alignment vertical="top"/>
    </xf>
    <xf borderId="18" fillId="0" fontId="30" numFmtId="0" xfId="0" applyAlignment="1" applyBorder="1" applyFont="1">
      <alignment vertical="center"/>
    </xf>
    <xf borderId="18" fillId="0" fontId="40" numFmtId="0" xfId="0" applyAlignment="1" applyBorder="1" applyFont="1">
      <alignment horizontal="right" vertical="center"/>
    </xf>
    <xf borderId="18" fillId="0" fontId="42" numFmtId="0" xfId="0" applyAlignment="1" applyBorder="1" applyFont="1">
      <alignment vertical="center"/>
    </xf>
    <xf borderId="0" fillId="0" fontId="30" numFmtId="0" xfId="0" applyAlignment="1" applyFont="1">
      <alignment horizontal="center" readingOrder="0" vertical="center"/>
    </xf>
    <xf borderId="0" fillId="0" fontId="42" numFmtId="0" xfId="0" applyAlignment="1" applyFont="1">
      <alignment horizontal="center" readingOrder="0" vertical="center"/>
    </xf>
    <xf borderId="0" fillId="0" fontId="30" numFmtId="0" xfId="0" applyAlignment="1" applyFont="1">
      <alignment readingOrder="0" vertical="center"/>
    </xf>
    <xf borderId="0" fillId="0" fontId="11" numFmtId="0" xfId="0" applyAlignment="1" applyFont="1">
      <alignment horizontal="left" readingOrder="0" vertical="center"/>
    </xf>
    <xf borderId="0" fillId="0" fontId="49" numFmtId="0" xfId="0" applyAlignment="1" applyFont="1">
      <alignment horizontal="left" readingOrder="0" vertical="center"/>
    </xf>
    <xf borderId="0" fillId="0" fontId="30" numFmtId="0" xfId="0" applyAlignment="1" applyFont="1">
      <alignment horizontal="right" vertical="center"/>
    </xf>
    <xf borderId="0" fillId="0" fontId="42" numFmtId="0" xfId="0" applyAlignment="1" applyFont="1">
      <alignment horizontal="right" vertical="center"/>
    </xf>
    <xf borderId="0" fillId="0" fontId="50" numFmtId="0" xfId="0" applyAlignment="1" applyFont="1">
      <alignment horizontal="center" vertical="center"/>
    </xf>
    <xf borderId="0" fillId="0" fontId="51" numFmtId="0" xfId="0" applyAlignment="1" applyFont="1">
      <alignment horizontal="right" readingOrder="0" vertical="center"/>
    </xf>
    <xf borderId="19" fillId="0" fontId="52" numFmtId="165" xfId="0" applyAlignment="1" applyBorder="1" applyFont="1" applyNumberFormat="1">
      <alignment vertical="center"/>
    </xf>
    <xf borderId="20" fillId="5" fontId="12" numFmtId="169" xfId="0" applyAlignment="1" applyBorder="1" applyFont="1" applyNumberFormat="1">
      <alignment horizontal="right" readingOrder="0" vertical="center"/>
    </xf>
    <xf borderId="20" fillId="5" fontId="53" numFmtId="0" xfId="0" applyAlignment="1" applyBorder="1" applyFont="1">
      <alignment horizontal="right" readingOrder="0" vertical="center"/>
    </xf>
    <xf borderId="0" fillId="0" fontId="12" numFmtId="0" xfId="0" applyAlignment="1" applyFont="1">
      <alignment horizontal="right" vertical="center"/>
    </xf>
    <xf borderId="0" fillId="0" fontId="54" numFmtId="0" xfId="0" applyAlignment="1" applyFont="1">
      <alignment readingOrder="0" vertical="center"/>
    </xf>
    <xf borderId="0" fillId="0" fontId="36" numFmtId="164" xfId="0" applyAlignment="1" applyFont="1" applyNumberFormat="1">
      <alignment horizontal="right" readingOrder="0" vertical="center"/>
    </xf>
    <xf borderId="12" fillId="0" fontId="55" numFmtId="164" xfId="0" applyAlignment="1" applyBorder="1" applyFont="1" applyNumberFormat="1">
      <alignment horizontal="right" vertical="center"/>
    </xf>
    <xf borderId="0" fillId="0" fontId="56" numFmtId="165" xfId="0" applyAlignment="1" applyFont="1" applyNumberFormat="1">
      <alignment horizontal="right" vertical="center"/>
    </xf>
    <xf borderId="0" fillId="0" fontId="39" numFmtId="0" xfId="0" applyAlignment="1" applyFont="1">
      <alignment vertical="top"/>
    </xf>
    <xf borderId="0" fillId="0" fontId="40" numFmtId="0" xfId="0" applyAlignment="1" applyFont="1">
      <alignment horizontal="right" vertical="top"/>
    </xf>
    <xf borderId="21" fillId="0" fontId="54" numFmtId="0" xfId="0" applyAlignment="1" applyBorder="1" applyFont="1">
      <alignment readingOrder="0" vertical="top"/>
    </xf>
    <xf borderId="21" fillId="0" fontId="36" numFmtId="164" xfId="0" applyAlignment="1" applyBorder="1" applyFont="1" applyNumberFormat="1">
      <alignment horizontal="right" readingOrder="0" vertical="top"/>
    </xf>
    <xf borderId="22" fillId="0" fontId="55" numFmtId="164" xfId="0" applyAlignment="1" applyBorder="1" applyFont="1" applyNumberFormat="1">
      <alignment horizontal="right" vertical="top"/>
    </xf>
    <xf borderId="23" fillId="0" fontId="55" numFmtId="164" xfId="0" applyAlignment="1" applyBorder="1" applyFont="1" applyNumberFormat="1">
      <alignment horizontal="right" vertical="top"/>
    </xf>
    <xf borderId="0" fillId="0" fontId="56" numFmtId="165" xfId="0" applyAlignment="1" applyFont="1" applyNumberFormat="1">
      <alignment horizontal="right" vertical="top"/>
    </xf>
    <xf borderId="0" fillId="0" fontId="39" numFmtId="0" xfId="0" applyAlignment="1" applyFont="1">
      <alignment vertical="bottom"/>
    </xf>
    <xf borderId="0" fillId="0" fontId="40" numFmtId="0" xfId="0" applyAlignment="1" applyFont="1">
      <alignment horizontal="right" vertical="bottom"/>
    </xf>
    <xf borderId="0" fillId="0" fontId="57" numFmtId="0" xfId="0" applyAlignment="1" applyFont="1">
      <alignment readingOrder="0" vertical="bottom"/>
    </xf>
    <xf borderId="0" fillId="0" fontId="36" numFmtId="164" xfId="0" applyAlignment="1" applyFont="1" applyNumberFormat="1">
      <alignment horizontal="right" readingOrder="0" vertical="bottom"/>
    </xf>
    <xf borderId="7" fillId="0" fontId="55" numFmtId="164" xfId="0" applyAlignment="1" applyBorder="1" applyFont="1" applyNumberFormat="1">
      <alignment horizontal="right" vertical="bottom"/>
    </xf>
    <xf borderId="0" fillId="0" fontId="54" numFmtId="165" xfId="0" applyAlignment="1" applyFont="1" applyNumberFormat="1">
      <alignment horizontal="right" readingOrder="0" vertical="bottom"/>
    </xf>
    <xf borderId="0" fillId="0" fontId="57" numFmtId="0" xfId="0" applyAlignment="1" applyFont="1">
      <alignment readingOrder="0" vertical="center"/>
    </xf>
    <xf borderId="0" fillId="0" fontId="58" numFmtId="164" xfId="0" applyAlignment="1" applyFont="1" applyNumberFormat="1">
      <alignment horizontal="right" readingOrder="0" vertical="center"/>
    </xf>
    <xf borderId="7" fillId="0" fontId="55" numFmtId="164" xfId="0" applyAlignment="1" applyBorder="1" applyFont="1" applyNumberFormat="1">
      <alignment horizontal="right" vertical="center"/>
    </xf>
    <xf borderId="0" fillId="0" fontId="56" numFmtId="164" xfId="0" applyAlignment="1" applyFont="1" applyNumberFormat="1">
      <alignment horizontal="right" vertical="center"/>
    </xf>
    <xf borderId="0" fillId="0" fontId="59" numFmtId="168" xfId="0" applyAlignment="1" applyFont="1" applyNumberFormat="1">
      <alignment horizontal="right" vertical="center"/>
    </xf>
    <xf borderId="0" fillId="0" fontId="56" numFmtId="168" xfId="0" applyAlignment="1" applyFont="1" applyNumberFormat="1">
      <alignment horizontal="right" vertical="center"/>
    </xf>
    <xf borderId="0" fillId="0" fontId="56" numFmtId="0" xfId="0" applyAlignment="1" applyFont="1">
      <alignment horizontal="right" vertical="center"/>
    </xf>
    <xf borderId="0" fillId="0" fontId="60" numFmtId="168" xfId="0" applyAlignment="1" applyFont="1" applyNumberFormat="1">
      <alignment horizontal="left" readingOrder="0" vertical="center"/>
    </xf>
    <xf borderId="0" fillId="0" fontId="60" numFmtId="168" xfId="0" applyAlignment="1" applyFont="1" applyNumberFormat="1">
      <alignment horizontal="right" readingOrder="0" vertical="center"/>
    </xf>
    <xf borderId="0" fillId="5" fontId="61" numFmtId="168" xfId="0" applyAlignment="1" applyFont="1" applyNumberFormat="1">
      <alignment horizontal="right" readingOrder="0" vertical="center"/>
    </xf>
    <xf borderId="20" fillId="5" fontId="53" numFmtId="168" xfId="0" applyAlignment="1" applyBorder="1" applyFont="1" applyNumberFormat="1">
      <alignment horizontal="right" readingOrder="0" vertical="center"/>
    </xf>
    <xf borderId="12" fillId="0" fontId="40" numFmtId="0" xfId="0" applyAlignment="1" applyBorder="1" applyFont="1">
      <alignment horizontal="right" vertical="center"/>
    </xf>
    <xf borderId="7" fillId="0" fontId="52" numFmtId="165" xfId="0" applyAlignment="1" applyBorder="1" applyFont="1" applyNumberFormat="1">
      <alignment readingOrder="0" vertical="center"/>
    </xf>
    <xf borderId="12" fillId="0" fontId="24" numFmtId="164" xfId="0" applyAlignment="1" applyBorder="1" applyFont="1" applyNumberFormat="1">
      <alignment horizontal="right" readingOrder="0" vertical="center"/>
    </xf>
    <xf borderId="12" fillId="0" fontId="24" numFmtId="164" xfId="0" applyAlignment="1" applyBorder="1" applyFont="1" applyNumberFormat="1">
      <alignment horizontal="right" vertical="center"/>
    </xf>
    <xf borderId="12" fillId="0" fontId="62" numFmtId="164" xfId="0" applyAlignment="1" applyBorder="1" applyFont="1" applyNumberFormat="1">
      <alignment horizontal="right" vertical="center"/>
    </xf>
    <xf borderId="12" fillId="0" fontId="56" numFmtId="165" xfId="0" applyAlignment="1" applyBorder="1" applyFont="1" applyNumberFormat="1">
      <alignment horizontal="right" vertical="center"/>
    </xf>
    <xf borderId="12" fillId="0" fontId="40" numFmtId="0" xfId="0" applyAlignment="1" applyBorder="1" applyFont="1">
      <alignment horizontal="right" vertical="center"/>
    </xf>
    <xf borderId="12" fillId="0" fontId="52" numFmtId="165" xfId="0" applyAlignment="1" applyBorder="1" applyFont="1" applyNumberFormat="1">
      <alignment readingOrder="0" vertical="center"/>
    </xf>
    <xf borderId="12" fillId="0" fontId="27" numFmtId="164" xfId="0" applyAlignment="1" applyBorder="1" applyFont="1" applyNumberFormat="1">
      <alignment horizontal="right" vertical="center"/>
    </xf>
    <xf borderId="12" fillId="0" fontId="52" numFmtId="165" xfId="0" applyAlignment="1" applyBorder="1" applyFont="1" applyNumberFormat="1">
      <alignment vertical="center"/>
    </xf>
    <xf borderId="12" fillId="0" fontId="8" numFmtId="168" xfId="0" applyAlignment="1" applyBorder="1" applyFont="1" applyNumberFormat="1">
      <alignment horizontal="right" vertical="center"/>
    </xf>
    <xf borderId="12" fillId="0" fontId="55" numFmtId="168" xfId="0" applyAlignment="1" applyBorder="1" applyFont="1" applyNumberFormat="1">
      <alignment horizontal="right" vertical="center"/>
    </xf>
    <xf borderId="0" fillId="0" fontId="31" numFmtId="168" xfId="0" applyAlignment="1" applyFont="1" applyNumberFormat="1">
      <alignment horizontal="left" readingOrder="0" vertical="center"/>
    </xf>
    <xf borderId="0" fillId="5" fontId="63" numFmtId="168" xfId="0" applyAlignment="1" applyFont="1" applyNumberFormat="1">
      <alignment horizontal="right" readingOrder="0" vertical="center"/>
    </xf>
    <xf borderId="0" fillId="0" fontId="36" numFmtId="168" xfId="0" applyAlignment="1" applyFont="1" applyNumberFormat="1">
      <alignment horizontal="right"/>
    </xf>
    <xf borderId="0" fillId="0" fontId="56" numFmtId="168" xfId="0" applyAlignment="1" applyFont="1" applyNumberFormat="1">
      <alignment horizontal="right"/>
    </xf>
    <xf borderId="19" fillId="0" fontId="36" numFmtId="0" xfId="0" applyAlignment="1" applyBorder="1" applyFont="1">
      <alignment readingOrder="0" vertical="center"/>
    </xf>
    <xf borderId="0" fillId="0" fontId="39" numFmtId="0" xfId="0" applyAlignment="1" applyFont="1">
      <alignment vertical="center"/>
    </xf>
    <xf borderId="24" fillId="0" fontId="52" numFmtId="165" xfId="0" applyAlignment="1" applyBorder="1" applyFont="1" applyNumberFormat="1">
      <alignment readingOrder="0" vertical="center"/>
    </xf>
    <xf borderId="24" fillId="0" fontId="8" numFmtId="164" xfId="0" applyAlignment="1" applyBorder="1" applyFont="1" applyNumberFormat="1">
      <alignment horizontal="right" vertical="center"/>
    </xf>
    <xf borderId="25" fillId="0" fontId="8" numFmtId="164" xfId="0" applyAlignment="1" applyBorder="1" applyFont="1" applyNumberFormat="1">
      <alignment horizontal="right" vertical="center"/>
    </xf>
    <xf borderId="12" fillId="0" fontId="56" numFmtId="0" xfId="0" applyAlignment="1" applyBorder="1" applyFont="1">
      <alignment horizontal="right" vertical="center"/>
    </xf>
    <xf borderId="25" fillId="0" fontId="52" numFmtId="165" xfId="0" applyAlignment="1" applyBorder="1" applyFont="1" applyNumberFormat="1">
      <alignment readingOrder="0" vertical="center"/>
    </xf>
    <xf borderId="12" fillId="0" fontId="56" numFmtId="0" xfId="0" applyAlignment="1" applyBorder="1" applyFont="1">
      <alignment horizontal="right" vertical="center"/>
    </xf>
    <xf borderId="25" fillId="0" fontId="52" numFmtId="0" xfId="0" applyAlignment="1" applyBorder="1" applyFont="1">
      <alignment readingOrder="0" vertical="center"/>
    </xf>
    <xf borderId="25" fillId="0" fontId="55" numFmtId="168" xfId="0" applyAlignment="1" applyBorder="1" applyFont="1" applyNumberFormat="1">
      <alignment horizontal="right" vertical="center"/>
    </xf>
    <xf borderId="7" fillId="0" fontId="56" numFmtId="165" xfId="0" applyAlignment="1" applyBorder="1" applyFont="1" applyNumberFormat="1">
      <alignment vertical="center"/>
    </xf>
    <xf borderId="7" fillId="0" fontId="8" numFmtId="168" xfId="0" applyAlignment="1" applyBorder="1" applyFont="1" applyNumberFormat="1">
      <alignment horizontal="right" vertical="center"/>
    </xf>
    <xf borderId="7" fillId="0" fontId="55" numFmtId="168" xfId="0" applyAlignment="1" applyBorder="1" applyFont="1" applyNumberFormat="1">
      <alignment horizontal="right" vertical="center"/>
    </xf>
    <xf borderId="12" fillId="0" fontId="56" numFmtId="0" xfId="0" applyAlignment="1" applyBorder="1" applyFont="1">
      <alignment vertical="center"/>
    </xf>
    <xf borderId="12" fillId="0" fontId="8" numFmtId="170" xfId="0" applyAlignment="1" applyBorder="1" applyFont="1" applyNumberFormat="1">
      <alignment horizontal="right" vertical="center"/>
    </xf>
    <xf borderId="0" fillId="0" fontId="8" numFmtId="170" xfId="0" applyAlignment="1" applyFont="1" applyNumberFormat="1">
      <alignment horizontal="right" vertical="center"/>
    </xf>
    <xf borderId="0" fillId="0" fontId="55" numFmtId="170" xfId="0" applyAlignment="1" applyFont="1" applyNumberFormat="1">
      <alignment horizontal="right" vertical="center"/>
    </xf>
    <xf borderId="0" fillId="0" fontId="56" numFmtId="0" xfId="0" applyAlignment="1" applyFont="1">
      <alignment vertical="center"/>
    </xf>
    <xf borderId="12" fillId="0" fontId="8" numFmtId="165" xfId="0" applyAlignment="1" applyBorder="1" applyFont="1" applyNumberFormat="1">
      <alignment horizontal="right" vertical="center"/>
    </xf>
    <xf borderId="0" fillId="0" fontId="8" numFmtId="165" xfId="0" applyAlignment="1" applyFont="1" applyNumberFormat="1">
      <alignment horizontal="right" vertical="center"/>
    </xf>
    <xf borderId="0" fillId="0" fontId="55" numFmtId="165" xfId="0" applyAlignment="1" applyFont="1" applyNumberFormat="1">
      <alignment horizontal="right" vertical="center"/>
    </xf>
    <xf borderId="0" fillId="0" fontId="36" numFmtId="165" xfId="0" applyFont="1" applyNumberFormat="1"/>
    <xf borderId="0" fillId="0" fontId="36" numFmtId="165" xfId="0" applyAlignment="1" applyFont="1" applyNumberFormat="1">
      <alignment vertical="center"/>
    </xf>
    <xf borderId="0" fillId="5" fontId="8" numFmtId="165" xfId="0" applyAlignment="1" applyFont="1" applyNumberFormat="1">
      <alignment vertical="center"/>
    </xf>
    <xf borderId="0" fillId="0" fontId="59" numFmtId="165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Resumen!$C$26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/>
              </a:solidFill>
            </a:ln>
          </c:spPr>
          <c:cat>
            <c:strRef>
              <c:f>Resumen!$D$22:$O$22</c:f>
            </c:strRef>
          </c:cat>
          <c:val>
            <c:numRef>
              <c:f>Resumen!$D$26:$O$26</c:f>
              <c:numCache/>
            </c:numRef>
          </c:val>
        </c:ser>
        <c:axId val="834430840"/>
        <c:axId val="166497471"/>
      </c:areaChart>
      <c:lineChart>
        <c:ser>
          <c:idx val="0"/>
          <c:order val="0"/>
          <c:tx>
            <c:v>Inversión</c:v>
          </c:tx>
          <c:spPr>
            <a:ln cmpd="sng" w="9525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Resumen!$D$22:$O$22</c:f>
            </c:strRef>
          </c:cat>
          <c:val>
            <c:numRef>
              <c:f>Resumen!$D$23:$O$23</c:f>
              <c:numCache/>
            </c:numRef>
          </c:val>
          <c:smooth val="0"/>
        </c:ser>
        <c:ser>
          <c:idx val="1"/>
          <c:order val="1"/>
          <c:tx>
            <c:strRef>
              <c:f>Resumen!$C$24</c:f>
            </c:strRef>
          </c:tx>
          <c:spPr>
            <a:ln cmpd="sng" w="9525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Resumen!$D$22:$O$22</c:f>
            </c:strRef>
          </c:cat>
          <c:val>
            <c:numRef>
              <c:f>Resumen!$D$24:$O$24</c:f>
              <c:numCache/>
            </c:numRef>
          </c:val>
          <c:smooth val="0"/>
        </c:ser>
        <c:axId val="834430840"/>
        <c:axId val="166497471"/>
      </c:lineChart>
      <c:catAx>
        <c:axId val="834430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66497471"/>
      </c:catAx>
      <c:valAx>
        <c:axId val="16649747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83443084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Gasto promedio por categoría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Resumen!$C$44:$C$58</c:f>
            </c:strRef>
          </c:cat>
          <c:val>
            <c:numRef>
              <c:f>Resumen!$Q$44:$Q$58</c:f>
              <c:numCache/>
            </c:numRef>
          </c:val>
        </c:ser>
        <c:axId val="1217061168"/>
        <c:axId val="1295149117"/>
      </c:barChart>
      <c:catAx>
        <c:axId val="121706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295149117"/>
      </c:catAx>
      <c:valAx>
        <c:axId val="129514911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20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217061168"/>
      </c:valAx>
    </c:plotArea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6</xdr:row>
      <xdr:rowOff>38100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8.25"/>
    <col customWidth="1" min="4" max="4" width="19.0"/>
    <col customWidth="1" min="5" max="5" width="14.0"/>
    <col customWidth="1" min="6" max="6" width="16.0"/>
    <col customWidth="1" min="8" max="8" width="17.5"/>
  </cols>
  <sheetData>
    <row r="3">
      <c r="B3" s="1" t="s">
        <v>0</v>
      </c>
      <c r="C3" s="1" t="s">
        <v>1</v>
      </c>
      <c r="D3" s="1" t="s">
        <v>2</v>
      </c>
    </row>
    <row r="4">
      <c r="B4" s="2" t="s">
        <v>3</v>
      </c>
      <c r="C4" s="2" t="s">
        <v>4</v>
      </c>
      <c r="D4" s="3">
        <v>2.371E7</v>
      </c>
    </row>
    <row r="5">
      <c r="B5" s="2" t="s">
        <v>5</v>
      </c>
      <c r="C5" s="2" t="s">
        <v>6</v>
      </c>
      <c r="D5" s="3">
        <v>667000.0</v>
      </c>
    </row>
    <row r="6">
      <c r="B6" s="2" t="s">
        <v>7</v>
      </c>
      <c r="C6" s="2" t="s">
        <v>8</v>
      </c>
      <c r="D6" s="3">
        <v>200000.0</v>
      </c>
    </row>
    <row r="7">
      <c r="B7" s="2" t="s">
        <v>9</v>
      </c>
      <c r="C7" s="2" t="s">
        <v>10</v>
      </c>
      <c r="D7" s="3">
        <v>6000000.0</v>
      </c>
    </row>
    <row r="8">
      <c r="B8" s="2" t="s">
        <v>11</v>
      </c>
      <c r="C8" s="2" t="s">
        <v>12</v>
      </c>
      <c r="D8" s="3">
        <v>5800000.0</v>
      </c>
    </row>
    <row r="9">
      <c r="B9" s="2" t="s">
        <v>13</v>
      </c>
      <c r="C9" s="2" t="s">
        <v>14</v>
      </c>
      <c r="D9" s="3">
        <v>3240000.0</v>
      </c>
    </row>
    <row r="10">
      <c r="B10" s="2" t="s">
        <v>15</v>
      </c>
      <c r="C10" s="2" t="s">
        <v>16</v>
      </c>
      <c r="D10" s="3">
        <v>1348850.0</v>
      </c>
    </row>
    <row r="11">
      <c r="B11" s="2" t="s">
        <v>17</v>
      </c>
      <c r="C11" s="2" t="s">
        <v>18</v>
      </c>
      <c r="D11" s="3">
        <v>2.0E7</v>
      </c>
    </row>
    <row r="12">
      <c r="B12" s="4" t="s">
        <v>19</v>
      </c>
      <c r="C12" s="5"/>
      <c r="D12" s="6">
        <f>SUM(D4:D11)</f>
        <v>60965850</v>
      </c>
    </row>
    <row r="15">
      <c r="B15" s="7" t="s">
        <v>20</v>
      </c>
      <c r="C15" s="7" t="s">
        <v>21</v>
      </c>
      <c r="D15" s="7" t="s">
        <v>22</v>
      </c>
      <c r="E15" s="7" t="s">
        <v>23</v>
      </c>
      <c r="F15" s="7" t="s">
        <v>24</v>
      </c>
      <c r="H15" s="8" t="s">
        <v>25</v>
      </c>
      <c r="I15" s="9"/>
      <c r="J15" s="9"/>
      <c r="K15" s="5"/>
    </row>
    <row r="16">
      <c r="B16" s="10" t="s">
        <v>26</v>
      </c>
      <c r="C16" s="11">
        <v>7200.0</v>
      </c>
      <c r="D16" s="12">
        <v>800.0</v>
      </c>
      <c r="E16" s="12">
        <v>3.0</v>
      </c>
      <c r="F16" s="11">
        <f t="shared" ref="F16:F23" si="1">(C16*D16)*E16</f>
        <v>17280000</v>
      </c>
      <c r="H16" s="13" t="str">
        <f>E15</f>
        <v>Cantidad de Recursos</v>
      </c>
      <c r="I16" s="14">
        <f>E24</f>
        <v>8</v>
      </c>
      <c r="J16" s="13" t="s">
        <v>27</v>
      </c>
      <c r="K16" s="15">
        <v>24.0</v>
      </c>
    </row>
    <row r="17">
      <c r="B17" s="10" t="s">
        <v>28</v>
      </c>
      <c r="C17" s="11">
        <v>8000.0</v>
      </c>
      <c r="D17" s="12">
        <v>120.0</v>
      </c>
      <c r="E17" s="12">
        <v>1.0</v>
      </c>
      <c r="F17" s="11">
        <f t="shared" si="1"/>
        <v>960000</v>
      </c>
      <c r="H17" s="13" t="str">
        <f>D15</f>
        <v>Horas Estimadas</v>
      </c>
      <c r="I17" s="14">
        <f>D24</f>
        <v>1575</v>
      </c>
      <c r="J17" s="13" t="s">
        <v>29</v>
      </c>
      <c r="K17" s="15">
        <v>6.0</v>
      </c>
    </row>
    <row r="18">
      <c r="B18" s="10" t="s">
        <v>30</v>
      </c>
      <c r="C18" s="11">
        <v>10000.0</v>
      </c>
      <c r="D18" s="12">
        <v>240.0</v>
      </c>
      <c r="E18" s="12">
        <v>1.0</v>
      </c>
      <c r="F18" s="11">
        <f t="shared" si="1"/>
        <v>2400000</v>
      </c>
      <c r="H18" s="13" t="s">
        <v>31</v>
      </c>
      <c r="I18" s="14">
        <f>I17/K17</f>
        <v>262.5</v>
      </c>
    </row>
    <row r="19">
      <c r="B19" s="10" t="s">
        <v>32</v>
      </c>
      <c r="C19" s="11">
        <v>7000.0</v>
      </c>
      <c r="D19" s="12">
        <v>250.0</v>
      </c>
      <c r="E19" s="12">
        <v>1.0</v>
      </c>
      <c r="F19" s="11">
        <f t="shared" si="1"/>
        <v>1750000</v>
      </c>
      <c r="H19" s="13" t="s">
        <v>33</v>
      </c>
      <c r="I19" s="14">
        <f>I18/K16</f>
        <v>10.9375</v>
      </c>
    </row>
    <row r="20">
      <c r="B20" s="10" t="s">
        <v>34</v>
      </c>
      <c r="C20" s="11">
        <v>8000.0</v>
      </c>
      <c r="D20" s="12">
        <v>45.0</v>
      </c>
      <c r="E20" s="12">
        <v>1.0</v>
      </c>
      <c r="F20" s="11">
        <f t="shared" si="1"/>
        <v>360000</v>
      </c>
    </row>
    <row r="21">
      <c r="B21" s="10" t="s">
        <v>35</v>
      </c>
      <c r="C21" s="11">
        <v>8000.0</v>
      </c>
      <c r="D21" s="12">
        <v>120.0</v>
      </c>
      <c r="E21" s="12">
        <v>1.0</v>
      </c>
      <c r="F21" s="11">
        <f t="shared" si="1"/>
        <v>960000</v>
      </c>
    </row>
    <row r="22">
      <c r="B22" s="10" t="s">
        <v>36</v>
      </c>
      <c r="C22" s="11">
        <v>200000.0</v>
      </c>
      <c r="D22" s="12">
        <v>5.0</v>
      </c>
      <c r="E22" s="12">
        <v>1.0</v>
      </c>
      <c r="F22" s="11">
        <f t="shared" si="1"/>
        <v>1000000</v>
      </c>
      <c r="G22" s="16" t="s">
        <v>37</v>
      </c>
    </row>
    <row r="23">
      <c r="B23" s="10" t="s">
        <v>38</v>
      </c>
      <c r="C23" s="11">
        <v>40000.0</v>
      </c>
      <c r="D23" s="12">
        <v>120.0</v>
      </c>
      <c r="E23" s="12">
        <v>1.0</v>
      </c>
      <c r="F23" s="11">
        <f t="shared" si="1"/>
        <v>4800000</v>
      </c>
      <c r="G23" s="16" t="s">
        <v>37</v>
      </c>
    </row>
    <row r="24">
      <c r="B24" s="7" t="s">
        <v>39</v>
      </c>
      <c r="C24" s="7"/>
      <c r="D24" s="7">
        <f t="shared" ref="D24:E24" si="2">SUM(D16:D21)</f>
        <v>1575</v>
      </c>
      <c r="E24" s="7">
        <f t="shared" si="2"/>
        <v>8</v>
      </c>
      <c r="F24" s="17">
        <f>SUM(F16:F23)</f>
        <v>29510000</v>
      </c>
    </row>
    <row r="26">
      <c r="B26" s="7" t="s">
        <v>0</v>
      </c>
      <c r="C26" s="7" t="s">
        <v>2</v>
      </c>
      <c r="D26" s="7" t="s">
        <v>40</v>
      </c>
      <c r="E26" s="7" t="s">
        <v>41</v>
      </c>
      <c r="F26" s="7" t="s">
        <v>42</v>
      </c>
    </row>
    <row r="27">
      <c r="B27" s="10" t="s">
        <v>3</v>
      </c>
      <c r="C27" s="11">
        <v>2.371E7</v>
      </c>
      <c r="D27" s="11">
        <f t="shared" ref="D27:D31" si="3">C27+E27</f>
        <v>24895500</v>
      </c>
      <c r="E27" s="11">
        <f t="shared" ref="E27:E31" si="4">C27*F27</f>
        <v>1185500</v>
      </c>
      <c r="F27" s="18">
        <v>0.05</v>
      </c>
    </row>
    <row r="28">
      <c r="B28" s="10" t="s">
        <v>5</v>
      </c>
      <c r="C28" s="11">
        <v>667000.0</v>
      </c>
      <c r="D28" s="11">
        <f t="shared" si="3"/>
        <v>700350</v>
      </c>
      <c r="E28" s="11">
        <f t="shared" si="4"/>
        <v>33350</v>
      </c>
      <c r="F28" s="18">
        <v>0.05</v>
      </c>
    </row>
    <row r="29">
      <c r="B29" s="10" t="s">
        <v>7</v>
      </c>
      <c r="C29" s="11">
        <v>200000.0</v>
      </c>
      <c r="D29" s="11">
        <f t="shared" si="3"/>
        <v>210000</v>
      </c>
      <c r="E29" s="11">
        <f t="shared" si="4"/>
        <v>10000</v>
      </c>
      <c r="F29" s="18">
        <v>0.05</v>
      </c>
    </row>
    <row r="30">
      <c r="B30" s="10" t="s">
        <v>9</v>
      </c>
      <c r="C30" s="11">
        <v>6000000.0</v>
      </c>
      <c r="D30" s="11">
        <f t="shared" si="3"/>
        <v>6120000</v>
      </c>
      <c r="E30" s="11">
        <f t="shared" si="4"/>
        <v>120000</v>
      </c>
      <c r="F30" s="18">
        <v>0.02</v>
      </c>
    </row>
    <row r="31">
      <c r="B31" s="10" t="s">
        <v>11</v>
      </c>
      <c r="C31" s="11">
        <v>5800000.0</v>
      </c>
      <c r="D31" s="11">
        <f t="shared" si="3"/>
        <v>6090000</v>
      </c>
      <c r="E31" s="11">
        <f t="shared" si="4"/>
        <v>290000</v>
      </c>
      <c r="F31" s="18">
        <v>0.05</v>
      </c>
    </row>
    <row r="32">
      <c r="B32" s="7" t="s">
        <v>43</v>
      </c>
      <c r="C32" s="17">
        <f t="shared" ref="C32:E32" si="5">SUM(C27:C30)</f>
        <v>30577000</v>
      </c>
      <c r="D32" s="17">
        <f t="shared" si="5"/>
        <v>31925850</v>
      </c>
      <c r="E32" s="17">
        <f t="shared" si="5"/>
        <v>1348850</v>
      </c>
      <c r="F32" s="17"/>
    </row>
    <row r="36">
      <c r="B36" s="7" t="s">
        <v>44</v>
      </c>
      <c r="C36" s="7" t="s">
        <v>45</v>
      </c>
      <c r="D36" s="7" t="s">
        <v>46</v>
      </c>
      <c r="E36" s="7" t="s">
        <v>47</v>
      </c>
    </row>
    <row r="37">
      <c r="B37" s="10"/>
      <c r="C37" s="10"/>
      <c r="D37" s="10"/>
      <c r="E37" s="10"/>
    </row>
  </sheetData>
  <mergeCells count="2">
    <mergeCell ref="B12:C12"/>
    <mergeCell ref="H15:K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9.0"/>
    <col customWidth="1" min="2" max="2" width="2.0"/>
    <col customWidth="1" min="3" max="3" width="25.25"/>
    <col customWidth="1" min="4" max="4" width="8.88" outlineLevel="1"/>
    <col customWidth="1" min="5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19"/>
      <c r="B1" s="19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23"/>
      <c r="R1" s="23"/>
    </row>
    <row r="2" ht="38.25" customHeight="1">
      <c r="A2" s="24"/>
      <c r="B2" s="24"/>
      <c r="C2" s="25" t="s">
        <v>48</v>
      </c>
      <c r="D2" s="26">
        <v>36526.0</v>
      </c>
      <c r="E2" s="26">
        <v>36557.0</v>
      </c>
      <c r="F2" s="26">
        <v>36586.0</v>
      </c>
      <c r="G2" s="26">
        <v>36617.0</v>
      </c>
      <c r="H2" s="26">
        <v>36647.0</v>
      </c>
      <c r="I2" s="26">
        <v>36678.0</v>
      </c>
      <c r="J2" s="26">
        <v>36708.0</v>
      </c>
      <c r="K2" s="26">
        <v>36739.0</v>
      </c>
      <c r="L2" s="26">
        <v>36770.0</v>
      </c>
      <c r="M2" s="26">
        <v>36800.0</v>
      </c>
      <c r="N2" s="26">
        <v>36831.0</v>
      </c>
      <c r="O2" s="26">
        <v>36861.0</v>
      </c>
      <c r="P2" s="27" t="s">
        <v>43</v>
      </c>
      <c r="Q2" s="28" t="s">
        <v>49</v>
      </c>
      <c r="R2" s="28"/>
    </row>
    <row r="3" ht="24.0" customHeight="1">
      <c r="A3" s="29" t="s">
        <v>3</v>
      </c>
      <c r="B3" s="30"/>
      <c r="C3" s="31" t="s">
        <v>50</v>
      </c>
      <c r="D3" s="32">
        <f t="shared" ref="D3:O3" si="1">SUM(D4:D9)</f>
        <v>1394444</v>
      </c>
      <c r="E3" s="32">
        <f t="shared" si="1"/>
        <v>1680000</v>
      </c>
      <c r="F3" s="32">
        <f t="shared" si="1"/>
        <v>480000</v>
      </c>
      <c r="G3" s="32">
        <f t="shared" si="1"/>
        <v>2160000</v>
      </c>
      <c r="H3" s="32">
        <f t="shared" si="1"/>
        <v>2684444</v>
      </c>
      <c r="I3" s="32">
        <f t="shared" si="1"/>
        <v>2354444</v>
      </c>
      <c r="J3" s="32">
        <f t="shared" si="1"/>
        <v>2354444</v>
      </c>
      <c r="K3" s="32">
        <f t="shared" si="1"/>
        <v>2684444</v>
      </c>
      <c r="L3" s="32">
        <f t="shared" si="1"/>
        <v>2354445</v>
      </c>
      <c r="M3" s="32">
        <f t="shared" si="1"/>
        <v>2354445</v>
      </c>
      <c r="N3" s="32">
        <f t="shared" si="1"/>
        <v>2684445</v>
      </c>
      <c r="O3" s="32">
        <f t="shared" si="1"/>
        <v>524445</v>
      </c>
      <c r="P3" s="33">
        <f t="shared" ref="P3:P9" si="2">sum(D3:O3)</f>
        <v>23710000</v>
      </c>
      <c r="Q3" s="33">
        <f>iferror(average(D3:O3),"")</f>
        <v>1975833.333</v>
      </c>
      <c r="R3" s="34"/>
    </row>
    <row r="4" ht="19.5" customHeight="1" outlineLevel="1">
      <c r="A4" s="35"/>
      <c r="B4" s="36"/>
      <c r="C4" s="37" t="s">
        <v>26</v>
      </c>
      <c r="D4" s="38">
        <v>0.0</v>
      </c>
      <c r="E4" s="38">
        <v>0.0</v>
      </c>
      <c r="F4" s="38">
        <v>0.0</v>
      </c>
      <c r="G4" s="38">
        <v>2160000.0</v>
      </c>
      <c r="H4" s="38">
        <v>2160000.0</v>
      </c>
      <c r="I4" s="38">
        <v>2160000.0</v>
      </c>
      <c r="J4" s="38">
        <v>2160000.0</v>
      </c>
      <c r="K4" s="38">
        <v>2160000.0</v>
      </c>
      <c r="L4" s="38">
        <v>2160000.0</v>
      </c>
      <c r="M4" s="38">
        <v>2160000.0</v>
      </c>
      <c r="N4" s="38">
        <v>2160000.0</v>
      </c>
      <c r="O4" s="38">
        <v>0.0</v>
      </c>
      <c r="P4" s="39">
        <f t="shared" si="2"/>
        <v>17280000</v>
      </c>
      <c r="Q4" s="39">
        <f t="shared" ref="Q4:Q9" si="3">iferror(average(D4:O4),0)</f>
        <v>1440000</v>
      </c>
      <c r="R4" s="40"/>
    </row>
    <row r="5" ht="19.5" customHeight="1" outlineLevel="1">
      <c r="A5" s="35"/>
      <c r="B5" s="36"/>
      <c r="C5" s="37" t="s">
        <v>28</v>
      </c>
      <c r="D5" s="38">
        <v>0.0</v>
      </c>
      <c r="E5" s="38">
        <v>480000.0</v>
      </c>
      <c r="F5" s="38">
        <v>480000.0</v>
      </c>
      <c r="G5" s="38">
        <v>0.0</v>
      </c>
      <c r="H5" s="38">
        <v>0.0</v>
      </c>
      <c r="I5" s="38">
        <v>0.0</v>
      </c>
      <c r="J5" s="38">
        <v>0.0</v>
      </c>
      <c r="K5" s="38">
        <v>0.0</v>
      </c>
      <c r="L5" s="38">
        <v>0.0</v>
      </c>
      <c r="M5" s="38">
        <v>0.0</v>
      </c>
      <c r="N5" s="38">
        <v>0.0</v>
      </c>
      <c r="O5" s="38">
        <v>0.0</v>
      </c>
      <c r="P5" s="39">
        <f t="shared" si="2"/>
        <v>960000</v>
      </c>
      <c r="Q5" s="39">
        <f t="shared" si="3"/>
        <v>80000</v>
      </c>
      <c r="R5" s="40"/>
    </row>
    <row r="6" ht="19.5" customHeight="1" outlineLevel="1">
      <c r="A6" s="35"/>
      <c r="B6" s="36"/>
      <c r="C6" s="37" t="s">
        <v>30</v>
      </c>
      <c r="D6" s="38">
        <v>1200000.0</v>
      </c>
      <c r="E6" s="38">
        <v>1200000.0</v>
      </c>
      <c r="F6" s="38">
        <v>0.0</v>
      </c>
      <c r="G6" s="38">
        <v>0.0</v>
      </c>
      <c r="H6" s="38">
        <v>0.0</v>
      </c>
      <c r="I6" s="38">
        <v>0.0</v>
      </c>
      <c r="J6" s="38">
        <v>0.0</v>
      </c>
      <c r="K6" s="38">
        <v>0.0</v>
      </c>
      <c r="L6" s="38">
        <v>0.0</v>
      </c>
      <c r="M6" s="38">
        <v>0.0</v>
      </c>
      <c r="N6" s="38">
        <v>0.0</v>
      </c>
      <c r="O6" s="38">
        <v>0.0</v>
      </c>
      <c r="P6" s="39">
        <f t="shared" si="2"/>
        <v>2400000</v>
      </c>
      <c r="Q6" s="39">
        <f t="shared" si="3"/>
        <v>200000</v>
      </c>
      <c r="R6" s="40"/>
    </row>
    <row r="7" ht="19.5" customHeight="1" outlineLevel="1">
      <c r="A7" s="35"/>
      <c r="B7" s="36"/>
      <c r="C7" s="37" t="s">
        <v>32</v>
      </c>
      <c r="D7" s="38">
        <v>194444.0</v>
      </c>
      <c r="E7" s="38">
        <v>0.0</v>
      </c>
      <c r="F7" s="38">
        <v>0.0</v>
      </c>
      <c r="G7" s="38">
        <v>0.0</v>
      </c>
      <c r="H7" s="38">
        <v>194444.0</v>
      </c>
      <c r="I7" s="38">
        <v>194444.0</v>
      </c>
      <c r="J7" s="38">
        <v>194444.0</v>
      </c>
      <c r="K7" s="38">
        <v>194444.0</v>
      </c>
      <c r="L7" s="38">
        <v>194445.0</v>
      </c>
      <c r="M7" s="38">
        <v>194445.0</v>
      </c>
      <c r="N7" s="38">
        <v>194445.0</v>
      </c>
      <c r="O7" s="38">
        <v>194445.0</v>
      </c>
      <c r="P7" s="39">
        <f t="shared" si="2"/>
        <v>1750000</v>
      </c>
      <c r="Q7" s="39">
        <f t="shared" si="3"/>
        <v>145833.3333</v>
      </c>
      <c r="R7" s="40"/>
    </row>
    <row r="8" ht="19.5" customHeight="1" outlineLevel="1">
      <c r="A8" s="35"/>
      <c r="B8" s="36"/>
      <c r="C8" s="37" t="s">
        <v>34</v>
      </c>
      <c r="D8" s="38">
        <v>0.0</v>
      </c>
      <c r="E8" s="38">
        <v>0.0</v>
      </c>
      <c r="F8" s="38">
        <v>0.0</v>
      </c>
      <c r="G8" s="38">
        <v>0.0</v>
      </c>
      <c r="H8" s="38">
        <v>90000.0</v>
      </c>
      <c r="I8" s="38">
        <v>0.0</v>
      </c>
      <c r="J8" s="38">
        <v>0.0</v>
      </c>
      <c r="K8" s="38">
        <v>90000.0</v>
      </c>
      <c r="L8" s="38">
        <v>0.0</v>
      </c>
      <c r="M8" s="38">
        <v>0.0</v>
      </c>
      <c r="N8" s="38">
        <v>90000.0</v>
      </c>
      <c r="O8" s="38">
        <v>90000.0</v>
      </c>
      <c r="P8" s="39">
        <f t="shared" si="2"/>
        <v>360000</v>
      </c>
      <c r="Q8" s="39">
        <f t="shared" si="3"/>
        <v>30000</v>
      </c>
      <c r="R8" s="40"/>
    </row>
    <row r="9" ht="19.5" customHeight="1" outlineLevel="1">
      <c r="A9" s="41"/>
      <c r="B9" s="42"/>
      <c r="C9" s="37" t="s">
        <v>35</v>
      </c>
      <c r="D9" s="38">
        <v>0.0</v>
      </c>
      <c r="E9" s="38">
        <v>0.0</v>
      </c>
      <c r="F9" s="38">
        <v>0.0</v>
      </c>
      <c r="G9" s="38">
        <v>0.0</v>
      </c>
      <c r="H9" s="38">
        <v>240000.0</v>
      </c>
      <c r="I9" s="38">
        <v>0.0</v>
      </c>
      <c r="J9" s="38">
        <v>0.0</v>
      </c>
      <c r="K9" s="38">
        <v>240000.0</v>
      </c>
      <c r="L9" s="38">
        <v>0.0</v>
      </c>
      <c r="M9" s="38">
        <v>0.0</v>
      </c>
      <c r="N9" s="38">
        <v>240000.0</v>
      </c>
      <c r="O9" s="38">
        <v>240000.0</v>
      </c>
      <c r="P9" s="39">
        <f t="shared" si="2"/>
        <v>960000</v>
      </c>
      <c r="Q9" s="39">
        <f t="shared" si="3"/>
        <v>80000</v>
      </c>
      <c r="R9" s="40"/>
    </row>
    <row r="10" ht="19.5" customHeight="1" outlineLevel="1">
      <c r="A10" s="43"/>
      <c r="B10" s="43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9"/>
      <c r="Q10" s="39"/>
      <c r="R10" s="40"/>
    </row>
    <row r="11" ht="24.0" customHeight="1">
      <c r="A11" s="44" t="s">
        <v>5</v>
      </c>
      <c r="B11" s="44"/>
      <c r="C11" s="31" t="s">
        <v>50</v>
      </c>
      <c r="D11" s="32">
        <f t="shared" ref="D11:O11" si="4">SUM(D12:D16)</f>
        <v>145000</v>
      </c>
      <c r="E11" s="32">
        <f t="shared" si="4"/>
        <v>40000</v>
      </c>
      <c r="F11" s="32">
        <f t="shared" si="4"/>
        <v>40000</v>
      </c>
      <c r="G11" s="32">
        <f t="shared" si="4"/>
        <v>40000</v>
      </c>
      <c r="H11" s="32">
        <f t="shared" si="4"/>
        <v>40000</v>
      </c>
      <c r="I11" s="32">
        <f t="shared" si="4"/>
        <v>40000</v>
      </c>
      <c r="J11" s="32">
        <f t="shared" si="4"/>
        <v>40000</v>
      </c>
      <c r="K11" s="32">
        <f t="shared" si="4"/>
        <v>40000</v>
      </c>
      <c r="L11" s="32">
        <f t="shared" si="4"/>
        <v>40000</v>
      </c>
      <c r="M11" s="32">
        <f t="shared" si="4"/>
        <v>40000</v>
      </c>
      <c r="N11" s="32">
        <f t="shared" si="4"/>
        <v>81000</v>
      </c>
      <c r="O11" s="32">
        <f t="shared" si="4"/>
        <v>81000</v>
      </c>
      <c r="P11" s="33">
        <f>sum(D11:O11)</f>
        <v>667000</v>
      </c>
      <c r="Q11" s="33">
        <f>iferror(average(D11:O11),"")</f>
        <v>55583.33333</v>
      </c>
      <c r="R11" s="45"/>
    </row>
    <row r="12" ht="19.5" customHeight="1" outlineLevel="1">
      <c r="A12" s="46"/>
      <c r="B12" s="46"/>
      <c r="C12" s="37" t="s">
        <v>51</v>
      </c>
      <c r="D12" s="47">
        <v>35000.0</v>
      </c>
      <c r="E12" s="47">
        <v>0.0</v>
      </c>
      <c r="F12" s="47">
        <v>0.0</v>
      </c>
      <c r="G12" s="47">
        <v>0.0</v>
      </c>
      <c r="H12" s="47">
        <v>0.0</v>
      </c>
      <c r="I12" s="47">
        <v>0.0</v>
      </c>
      <c r="J12" s="47">
        <v>0.0</v>
      </c>
      <c r="K12" s="47">
        <v>0.0</v>
      </c>
      <c r="L12" s="47">
        <v>0.0</v>
      </c>
      <c r="M12" s="47">
        <v>0.0</v>
      </c>
      <c r="N12" s="47">
        <v>0.0</v>
      </c>
      <c r="O12" s="47">
        <v>0.0</v>
      </c>
      <c r="P12" s="47"/>
      <c r="Q12" s="48"/>
      <c r="R12" s="49"/>
    </row>
    <row r="13" ht="19.5" customHeight="1" outlineLevel="1">
      <c r="A13" s="46"/>
      <c r="B13" s="46"/>
      <c r="C13" s="37" t="s">
        <v>52</v>
      </c>
      <c r="D13" s="47">
        <v>0.0</v>
      </c>
      <c r="E13" s="47">
        <v>0.0</v>
      </c>
      <c r="F13" s="47">
        <v>0.0</v>
      </c>
      <c r="G13" s="47">
        <v>0.0</v>
      </c>
      <c r="H13" s="47">
        <v>0.0</v>
      </c>
      <c r="I13" s="47">
        <v>0.0</v>
      </c>
      <c r="J13" s="47">
        <v>0.0</v>
      </c>
      <c r="K13" s="47">
        <v>0.0</v>
      </c>
      <c r="L13" s="47">
        <v>0.0</v>
      </c>
      <c r="M13" s="47">
        <v>0.0</v>
      </c>
      <c r="N13" s="47">
        <v>81000.0</v>
      </c>
      <c r="O13" s="47">
        <v>81000.0</v>
      </c>
      <c r="P13" s="48">
        <f t="shared" ref="P13:P16" si="5">sum(D13:O13)</f>
        <v>162000</v>
      </c>
      <c r="Q13" s="48">
        <f t="shared" ref="Q13:Q16" si="6">iferror(average(D13:O13),0)</f>
        <v>13500</v>
      </c>
      <c r="R13" s="49"/>
    </row>
    <row r="14" ht="19.5" customHeight="1" outlineLevel="1">
      <c r="A14" s="46"/>
      <c r="B14" s="46"/>
      <c r="C14" s="37" t="s">
        <v>53</v>
      </c>
      <c r="D14" s="47">
        <v>35000.0</v>
      </c>
      <c r="E14" s="47">
        <v>0.0</v>
      </c>
      <c r="F14" s="47">
        <v>0.0</v>
      </c>
      <c r="G14" s="47">
        <v>0.0</v>
      </c>
      <c r="H14" s="47">
        <v>0.0</v>
      </c>
      <c r="I14" s="47">
        <v>0.0</v>
      </c>
      <c r="J14" s="47">
        <v>0.0</v>
      </c>
      <c r="K14" s="47">
        <v>0.0</v>
      </c>
      <c r="L14" s="47">
        <v>0.0</v>
      </c>
      <c r="M14" s="47">
        <v>0.0</v>
      </c>
      <c r="N14" s="47">
        <v>0.0</v>
      </c>
      <c r="O14" s="47">
        <v>0.0</v>
      </c>
      <c r="P14" s="48">
        <f t="shared" si="5"/>
        <v>35000</v>
      </c>
      <c r="Q14" s="48">
        <f t="shared" si="6"/>
        <v>2916.666667</v>
      </c>
      <c r="R14" s="49"/>
    </row>
    <row r="15" ht="19.5" customHeight="1" outlineLevel="1">
      <c r="A15" s="46"/>
      <c r="B15" s="46"/>
      <c r="C15" s="37" t="s">
        <v>54</v>
      </c>
      <c r="D15" s="47">
        <v>35000.0</v>
      </c>
      <c r="E15" s="47">
        <v>0.0</v>
      </c>
      <c r="F15" s="47">
        <v>0.0</v>
      </c>
      <c r="G15" s="47">
        <v>0.0</v>
      </c>
      <c r="H15" s="47">
        <v>0.0</v>
      </c>
      <c r="I15" s="47">
        <v>0.0</v>
      </c>
      <c r="J15" s="47">
        <v>0.0</v>
      </c>
      <c r="K15" s="47">
        <v>0.0</v>
      </c>
      <c r="L15" s="47">
        <v>0.0</v>
      </c>
      <c r="M15" s="47">
        <v>0.0</v>
      </c>
      <c r="N15" s="47">
        <v>0.0</v>
      </c>
      <c r="O15" s="47">
        <v>0.0</v>
      </c>
      <c r="P15" s="48">
        <f t="shared" si="5"/>
        <v>35000</v>
      </c>
      <c r="Q15" s="48">
        <f t="shared" si="6"/>
        <v>2916.666667</v>
      </c>
      <c r="R15" s="50"/>
    </row>
    <row r="16" ht="19.5" customHeight="1" outlineLevel="1">
      <c r="A16" s="46"/>
      <c r="B16" s="46"/>
      <c r="C16" s="37" t="s">
        <v>55</v>
      </c>
      <c r="D16" s="47">
        <v>40000.0</v>
      </c>
      <c r="E16" s="47">
        <v>40000.0</v>
      </c>
      <c r="F16" s="47">
        <v>40000.0</v>
      </c>
      <c r="G16" s="47">
        <v>40000.0</v>
      </c>
      <c r="H16" s="47">
        <v>40000.0</v>
      </c>
      <c r="I16" s="47">
        <v>40000.0</v>
      </c>
      <c r="J16" s="47">
        <v>40000.0</v>
      </c>
      <c r="K16" s="47">
        <v>40000.0</v>
      </c>
      <c r="L16" s="47">
        <v>40000.0</v>
      </c>
      <c r="M16" s="47">
        <v>40000.0</v>
      </c>
      <c r="N16" s="47">
        <v>0.0</v>
      </c>
      <c r="O16" s="47">
        <v>0.0</v>
      </c>
      <c r="P16" s="48">
        <f t="shared" si="5"/>
        <v>400000</v>
      </c>
      <c r="Q16" s="48">
        <f t="shared" si="6"/>
        <v>33333.33333</v>
      </c>
      <c r="R16" s="49"/>
    </row>
    <row r="17" ht="19.5" customHeight="1" outlineLevel="1">
      <c r="A17" s="46"/>
      <c r="B17" s="46"/>
      <c r="C17" s="3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8"/>
      <c r="Q17" s="48"/>
      <c r="R17" s="49"/>
    </row>
    <row r="18">
      <c r="A18" s="51" t="s">
        <v>56</v>
      </c>
      <c r="B18" s="30"/>
      <c r="C18" s="31" t="s">
        <v>50</v>
      </c>
      <c r="D18" s="32">
        <f t="shared" ref="D18:O18" si="7">SUM(D19)</f>
        <v>200000</v>
      </c>
      <c r="E18" s="32">
        <f t="shared" si="7"/>
        <v>0</v>
      </c>
      <c r="F18" s="32">
        <f t="shared" si="7"/>
        <v>0</v>
      </c>
      <c r="G18" s="32">
        <f t="shared" si="7"/>
        <v>0</v>
      </c>
      <c r="H18" s="32">
        <f t="shared" si="7"/>
        <v>0</v>
      </c>
      <c r="I18" s="32">
        <f t="shared" si="7"/>
        <v>0</v>
      </c>
      <c r="J18" s="32">
        <f t="shared" si="7"/>
        <v>0</v>
      </c>
      <c r="K18" s="32">
        <f t="shared" si="7"/>
        <v>0</v>
      </c>
      <c r="L18" s="32">
        <f t="shared" si="7"/>
        <v>0</v>
      </c>
      <c r="M18" s="32">
        <f t="shared" si="7"/>
        <v>0</v>
      </c>
      <c r="N18" s="32">
        <f t="shared" si="7"/>
        <v>0</v>
      </c>
      <c r="O18" s="32">
        <f t="shared" si="7"/>
        <v>0</v>
      </c>
      <c r="P18" s="33">
        <f t="shared" ref="P18:P19" si="8">sum(D18:O18)</f>
        <v>200000</v>
      </c>
      <c r="Q18" s="33">
        <f>iferror(average(D18:O18),"")</f>
        <v>16666.66667</v>
      </c>
      <c r="R18" s="45"/>
    </row>
    <row r="19" ht="19.5" customHeight="1" outlineLevel="1">
      <c r="A19" s="46"/>
      <c r="B19" s="46"/>
      <c r="C19" s="37" t="s">
        <v>57</v>
      </c>
      <c r="D19" s="47">
        <v>200000.0</v>
      </c>
      <c r="E19" s="47">
        <v>0.0</v>
      </c>
      <c r="F19" s="47">
        <v>0.0</v>
      </c>
      <c r="G19" s="47">
        <v>0.0</v>
      </c>
      <c r="H19" s="47">
        <v>0.0</v>
      </c>
      <c r="I19" s="47">
        <v>0.0</v>
      </c>
      <c r="J19" s="47">
        <v>0.0</v>
      </c>
      <c r="K19" s="47">
        <v>0.0</v>
      </c>
      <c r="L19" s="47">
        <v>0.0</v>
      </c>
      <c r="M19" s="47">
        <v>0.0</v>
      </c>
      <c r="N19" s="47">
        <v>0.0</v>
      </c>
      <c r="O19" s="47">
        <v>0.0</v>
      </c>
      <c r="P19" s="48">
        <f t="shared" si="8"/>
        <v>200000</v>
      </c>
      <c r="Q19" s="48">
        <f>iferror(average(D19:O19),0)</f>
        <v>16666.66667</v>
      </c>
      <c r="R19" s="50"/>
    </row>
    <row r="20" ht="19.5" customHeight="1">
      <c r="A20" s="43"/>
      <c r="B20" s="52"/>
      <c r="C20" s="37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4"/>
      <c r="Q20" s="54"/>
      <c r="R20" s="55"/>
    </row>
    <row r="21">
      <c r="A21" s="44" t="s">
        <v>9</v>
      </c>
      <c r="B21" s="30"/>
      <c r="C21" s="31" t="s">
        <v>50</v>
      </c>
      <c r="D21" s="32">
        <f t="shared" ref="D21:O21" si="9">SUM(D22)</f>
        <v>500000</v>
      </c>
      <c r="E21" s="32">
        <f t="shared" si="9"/>
        <v>500000</v>
      </c>
      <c r="F21" s="32">
        <f t="shared" si="9"/>
        <v>500000</v>
      </c>
      <c r="G21" s="32">
        <f t="shared" si="9"/>
        <v>500000</v>
      </c>
      <c r="H21" s="32">
        <f t="shared" si="9"/>
        <v>500000</v>
      </c>
      <c r="I21" s="32">
        <f t="shared" si="9"/>
        <v>500000</v>
      </c>
      <c r="J21" s="32">
        <f t="shared" si="9"/>
        <v>500000</v>
      </c>
      <c r="K21" s="32">
        <f t="shared" si="9"/>
        <v>500000</v>
      </c>
      <c r="L21" s="32">
        <f t="shared" si="9"/>
        <v>500000</v>
      </c>
      <c r="M21" s="32">
        <f t="shared" si="9"/>
        <v>500000</v>
      </c>
      <c r="N21" s="32">
        <f t="shared" si="9"/>
        <v>500000</v>
      </c>
      <c r="O21" s="32">
        <f t="shared" si="9"/>
        <v>500000</v>
      </c>
      <c r="P21" s="33">
        <f t="shared" ref="P21:P22" si="10">sum(D21:O21)</f>
        <v>6000000</v>
      </c>
      <c r="Q21" s="33">
        <f>iferror(average(D21:O21),"")</f>
        <v>500000</v>
      </c>
      <c r="R21" s="45"/>
    </row>
    <row r="22" ht="19.5" customHeight="1" outlineLevel="1">
      <c r="A22" s="46"/>
      <c r="B22" s="46"/>
      <c r="C22" s="37" t="s">
        <v>58</v>
      </c>
      <c r="D22" s="47">
        <v>500000.0</v>
      </c>
      <c r="E22" s="47">
        <v>500000.0</v>
      </c>
      <c r="F22" s="47">
        <v>500000.0</v>
      </c>
      <c r="G22" s="47">
        <v>500000.0</v>
      </c>
      <c r="H22" s="47">
        <v>500000.0</v>
      </c>
      <c r="I22" s="47">
        <v>500000.0</v>
      </c>
      <c r="J22" s="47">
        <v>500000.0</v>
      </c>
      <c r="K22" s="47">
        <v>500000.0</v>
      </c>
      <c r="L22" s="47">
        <v>500000.0</v>
      </c>
      <c r="M22" s="47">
        <v>500000.0</v>
      </c>
      <c r="N22" s="47">
        <v>500000.0</v>
      </c>
      <c r="O22" s="47">
        <v>500000.0</v>
      </c>
      <c r="P22" s="48">
        <f t="shared" si="10"/>
        <v>6000000</v>
      </c>
      <c r="Q22" s="48">
        <f>iferror(average(D22:O22),0)</f>
        <v>500000</v>
      </c>
      <c r="R22" s="50"/>
    </row>
    <row r="23" ht="19.5" customHeight="1">
      <c r="A23" s="35"/>
      <c r="B23" s="36"/>
      <c r="C23" s="37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54"/>
      <c r="R23" s="40"/>
    </row>
    <row r="24" ht="24.0" customHeight="1">
      <c r="A24" s="56" t="s">
        <v>11</v>
      </c>
      <c r="B24" s="30"/>
      <c r="C24" s="31" t="s">
        <v>50</v>
      </c>
      <c r="D24" s="32">
        <f t="shared" ref="D24:O24" si="11">SUM(D25:D26)</f>
        <v>1400000</v>
      </c>
      <c r="E24" s="32">
        <f t="shared" si="11"/>
        <v>400000</v>
      </c>
      <c r="F24" s="32">
        <f t="shared" si="11"/>
        <v>400000</v>
      </c>
      <c r="G24" s="32">
        <f t="shared" si="11"/>
        <v>400000</v>
      </c>
      <c r="H24" s="32">
        <f t="shared" si="11"/>
        <v>400000</v>
      </c>
      <c r="I24" s="32">
        <f t="shared" si="11"/>
        <v>400000</v>
      </c>
      <c r="J24" s="32">
        <f t="shared" si="11"/>
        <v>400000</v>
      </c>
      <c r="K24" s="32">
        <f t="shared" si="11"/>
        <v>400000</v>
      </c>
      <c r="L24" s="32">
        <f t="shared" si="11"/>
        <v>400000</v>
      </c>
      <c r="M24" s="32">
        <f t="shared" si="11"/>
        <v>400000</v>
      </c>
      <c r="N24" s="32">
        <f t="shared" si="11"/>
        <v>400000</v>
      </c>
      <c r="O24" s="32">
        <f t="shared" si="11"/>
        <v>400000</v>
      </c>
      <c r="P24" s="33">
        <f t="shared" ref="P24:P26" si="12">sum(D24:O24)</f>
        <v>5800000</v>
      </c>
      <c r="Q24" s="33">
        <f>iferror(average(D24:O24),"")</f>
        <v>483333.3333</v>
      </c>
      <c r="R24" s="45"/>
    </row>
    <row r="25" ht="19.5" customHeight="1" outlineLevel="1">
      <c r="A25" s="35"/>
      <c r="B25" s="36"/>
      <c r="C25" s="37" t="s">
        <v>36</v>
      </c>
      <c r="D25" s="38">
        <v>1000000.0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9">
        <f t="shared" si="12"/>
        <v>1000000</v>
      </c>
      <c r="Q25" s="39">
        <f t="shared" ref="Q25:Q26" si="13">iferror(average(D25:O25),0)</f>
        <v>83333.33333</v>
      </c>
      <c r="R25" s="40"/>
    </row>
    <row r="26" ht="19.5" customHeight="1" outlineLevel="1">
      <c r="A26" s="35"/>
      <c r="B26" s="36"/>
      <c r="C26" s="37" t="s">
        <v>38</v>
      </c>
      <c r="D26" s="38">
        <v>400000.0</v>
      </c>
      <c r="E26" s="38">
        <v>400000.0</v>
      </c>
      <c r="F26" s="38">
        <v>400000.0</v>
      </c>
      <c r="G26" s="38">
        <v>400000.0</v>
      </c>
      <c r="H26" s="38">
        <v>400000.0</v>
      </c>
      <c r="I26" s="38">
        <v>400000.0</v>
      </c>
      <c r="J26" s="38">
        <v>400000.0</v>
      </c>
      <c r="K26" s="38">
        <v>400000.0</v>
      </c>
      <c r="L26" s="38">
        <v>400000.0</v>
      </c>
      <c r="M26" s="38">
        <v>400000.0</v>
      </c>
      <c r="N26" s="38">
        <v>400000.0</v>
      </c>
      <c r="O26" s="38">
        <v>400000.0</v>
      </c>
      <c r="P26" s="39">
        <f t="shared" si="12"/>
        <v>4800000</v>
      </c>
      <c r="Q26" s="39">
        <f t="shared" si="13"/>
        <v>400000</v>
      </c>
      <c r="R26" s="40"/>
    </row>
    <row r="27" ht="19.5" customHeight="1" outlineLevel="1">
      <c r="A27" s="35"/>
      <c r="B27" s="36"/>
      <c r="C27" s="3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9"/>
      <c r="R27" s="40"/>
    </row>
    <row r="28" ht="24.0" customHeight="1">
      <c r="A28" s="51" t="s">
        <v>13</v>
      </c>
      <c r="B28" s="30"/>
      <c r="C28" s="31" t="s">
        <v>50</v>
      </c>
      <c r="D28" s="32">
        <f t="shared" ref="D28:O28" si="14">SUM(D29:D30)</f>
        <v>270000</v>
      </c>
      <c r="E28" s="32">
        <f t="shared" si="14"/>
        <v>270000</v>
      </c>
      <c r="F28" s="32">
        <f t="shared" si="14"/>
        <v>270000</v>
      </c>
      <c r="G28" s="32">
        <f t="shared" si="14"/>
        <v>270000</v>
      </c>
      <c r="H28" s="32">
        <f t="shared" si="14"/>
        <v>270000</v>
      </c>
      <c r="I28" s="32">
        <f t="shared" si="14"/>
        <v>270000</v>
      </c>
      <c r="J28" s="32">
        <f t="shared" si="14"/>
        <v>270000</v>
      </c>
      <c r="K28" s="32">
        <f t="shared" si="14"/>
        <v>270000</v>
      </c>
      <c r="L28" s="32">
        <f t="shared" si="14"/>
        <v>270000</v>
      </c>
      <c r="M28" s="32">
        <f t="shared" si="14"/>
        <v>270000</v>
      </c>
      <c r="N28" s="32">
        <f t="shared" si="14"/>
        <v>270000</v>
      </c>
      <c r="O28" s="32">
        <f t="shared" si="14"/>
        <v>270000</v>
      </c>
      <c r="P28" s="33">
        <f t="shared" ref="P28:P30" si="15">sum(D28:O28)</f>
        <v>3240000</v>
      </c>
      <c r="Q28" s="33">
        <f>iferror(average(D28:O28),"")</f>
        <v>270000</v>
      </c>
      <c r="R28" s="45"/>
    </row>
    <row r="29" ht="19.5" customHeight="1" outlineLevel="1">
      <c r="A29" s="43"/>
      <c r="B29" s="43"/>
      <c r="C29" s="37" t="s">
        <v>59</v>
      </c>
      <c r="D29" s="47">
        <v>120000.0</v>
      </c>
      <c r="E29" s="47">
        <v>120000.0</v>
      </c>
      <c r="F29" s="47">
        <v>120000.0</v>
      </c>
      <c r="G29" s="47">
        <v>120000.0</v>
      </c>
      <c r="H29" s="47">
        <v>120000.0</v>
      </c>
      <c r="I29" s="47">
        <v>120000.0</v>
      </c>
      <c r="J29" s="47">
        <v>120000.0</v>
      </c>
      <c r="K29" s="47">
        <v>120000.0</v>
      </c>
      <c r="L29" s="47">
        <v>120000.0</v>
      </c>
      <c r="M29" s="47">
        <v>120000.0</v>
      </c>
      <c r="N29" s="47">
        <v>120000.0</v>
      </c>
      <c r="O29" s="47">
        <v>120000.0</v>
      </c>
      <c r="P29" s="48">
        <f t="shared" si="15"/>
        <v>1440000</v>
      </c>
      <c r="Q29" s="48">
        <f t="shared" ref="Q29:Q30" si="16">iferror(average(D29:O29),0)</f>
        <v>120000</v>
      </c>
      <c r="R29" s="50"/>
    </row>
    <row r="30" ht="19.5" customHeight="1" outlineLevel="1">
      <c r="A30" s="43"/>
      <c r="B30" s="43"/>
      <c r="C30" s="37" t="s">
        <v>60</v>
      </c>
      <c r="D30" s="47">
        <v>150000.0</v>
      </c>
      <c r="E30" s="47">
        <v>150000.0</v>
      </c>
      <c r="F30" s="47">
        <v>150000.0</v>
      </c>
      <c r="G30" s="47">
        <v>150000.0</v>
      </c>
      <c r="H30" s="47">
        <v>150000.0</v>
      </c>
      <c r="I30" s="47">
        <v>150000.0</v>
      </c>
      <c r="J30" s="47">
        <v>150000.0</v>
      </c>
      <c r="K30" s="47">
        <v>150000.0</v>
      </c>
      <c r="L30" s="47">
        <v>150000.0</v>
      </c>
      <c r="M30" s="47">
        <v>150000.0</v>
      </c>
      <c r="N30" s="47">
        <v>150000.0</v>
      </c>
      <c r="O30" s="47">
        <v>150000.0</v>
      </c>
      <c r="P30" s="48">
        <f t="shared" si="15"/>
        <v>1800000</v>
      </c>
      <c r="Q30" s="48">
        <f t="shared" si="16"/>
        <v>150000</v>
      </c>
      <c r="R30" s="50"/>
    </row>
    <row r="31" ht="19.5" customHeight="1" outlineLevel="1">
      <c r="A31" s="43"/>
      <c r="B31" s="43"/>
      <c r="C31" s="3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39"/>
      <c r="Q31" s="39"/>
      <c r="R31" s="50"/>
    </row>
    <row r="32" ht="24.0" customHeight="1">
      <c r="A32" s="57" t="s">
        <v>61</v>
      </c>
      <c r="B32" s="44"/>
      <c r="C32" s="31" t="s">
        <v>50</v>
      </c>
      <c r="D32" s="32">
        <f t="shared" ref="D32:O32" si="17">SUM(D33)</f>
        <v>1348850</v>
      </c>
      <c r="E32" s="32">
        <f t="shared" si="17"/>
        <v>0</v>
      </c>
      <c r="F32" s="32">
        <f t="shared" si="17"/>
        <v>0</v>
      </c>
      <c r="G32" s="32">
        <f t="shared" si="17"/>
        <v>0</v>
      </c>
      <c r="H32" s="32">
        <f t="shared" si="17"/>
        <v>0</v>
      </c>
      <c r="I32" s="32">
        <f t="shared" si="17"/>
        <v>0</v>
      </c>
      <c r="J32" s="32">
        <f t="shared" si="17"/>
        <v>0</v>
      </c>
      <c r="K32" s="32">
        <f t="shared" si="17"/>
        <v>0</v>
      </c>
      <c r="L32" s="32">
        <f t="shared" si="17"/>
        <v>0</v>
      </c>
      <c r="M32" s="32">
        <f t="shared" si="17"/>
        <v>0</v>
      </c>
      <c r="N32" s="32">
        <f t="shared" si="17"/>
        <v>0</v>
      </c>
      <c r="O32" s="32">
        <f t="shared" si="17"/>
        <v>0</v>
      </c>
      <c r="P32" s="33">
        <f t="shared" ref="P32:P33" si="18">sum(D32:O32)</f>
        <v>1348850</v>
      </c>
      <c r="Q32" s="33">
        <f>iferror(average(D32:O32),"")</f>
        <v>112404.1667</v>
      </c>
      <c r="R32" s="45"/>
    </row>
    <row r="33" ht="19.5" customHeight="1" outlineLevel="1">
      <c r="A33" s="43"/>
      <c r="B33" s="43"/>
      <c r="C33" s="37" t="s">
        <v>62</v>
      </c>
      <c r="D33" s="47">
        <v>1348850.0</v>
      </c>
      <c r="E33" s="47">
        <v>0.0</v>
      </c>
      <c r="F33" s="47">
        <v>0.0</v>
      </c>
      <c r="G33" s="47">
        <v>0.0</v>
      </c>
      <c r="H33" s="47">
        <v>0.0</v>
      </c>
      <c r="I33" s="47">
        <v>0.0</v>
      </c>
      <c r="J33" s="47">
        <v>0.0</v>
      </c>
      <c r="K33" s="47">
        <v>0.0</v>
      </c>
      <c r="L33" s="47">
        <v>0.0</v>
      </c>
      <c r="M33" s="47">
        <v>0.0</v>
      </c>
      <c r="N33" s="47">
        <v>0.0</v>
      </c>
      <c r="O33" s="47">
        <v>0.0</v>
      </c>
      <c r="P33" s="39">
        <f t="shared" si="18"/>
        <v>1348850</v>
      </c>
      <c r="Q33" s="39">
        <f>iferror(average(D33:O33),0)</f>
        <v>112404.1667</v>
      </c>
      <c r="R33" s="50"/>
    </row>
    <row r="34" ht="19.5" customHeight="1" outlineLevel="1">
      <c r="A34" s="43"/>
      <c r="B34" s="43"/>
      <c r="C34" s="3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39"/>
      <c r="Q34" s="39"/>
      <c r="R34" s="50"/>
    </row>
    <row r="35" ht="24.0" customHeight="1">
      <c r="A35" s="57" t="s">
        <v>17</v>
      </c>
      <c r="B35" s="44"/>
      <c r="C35" s="31" t="s">
        <v>50</v>
      </c>
      <c r="D35" s="32">
        <f t="shared" ref="D35:O35" si="19">sum(D36:D38)</f>
        <v>1666666</v>
      </c>
      <c r="E35" s="32">
        <f t="shared" si="19"/>
        <v>1666666</v>
      </c>
      <c r="F35" s="32">
        <f t="shared" si="19"/>
        <v>1666666</v>
      </c>
      <c r="G35" s="32">
        <f t="shared" si="19"/>
        <v>1666666</v>
      </c>
      <c r="H35" s="32">
        <f t="shared" si="19"/>
        <v>1666667</v>
      </c>
      <c r="I35" s="32">
        <f t="shared" si="19"/>
        <v>1666667</v>
      </c>
      <c r="J35" s="32">
        <f t="shared" si="19"/>
        <v>1666667</v>
      </c>
      <c r="K35" s="32">
        <f t="shared" si="19"/>
        <v>1666667</v>
      </c>
      <c r="L35" s="32">
        <f t="shared" si="19"/>
        <v>1666667</v>
      </c>
      <c r="M35" s="32">
        <f t="shared" si="19"/>
        <v>1666667</v>
      </c>
      <c r="N35" s="32">
        <f t="shared" si="19"/>
        <v>1666667</v>
      </c>
      <c r="O35" s="32">
        <f t="shared" si="19"/>
        <v>1666667</v>
      </c>
      <c r="P35" s="33">
        <f t="shared" ref="P35:P36" si="20">sum(D35:O35)</f>
        <v>20000000</v>
      </c>
      <c r="Q35" s="33">
        <f>iferror(average(D35:O35),"")</f>
        <v>1666666.667</v>
      </c>
      <c r="R35" s="45"/>
    </row>
    <row r="36" ht="19.5" customHeight="1" outlineLevel="1">
      <c r="A36" s="43"/>
      <c r="B36" s="43"/>
      <c r="C36" s="37" t="s">
        <v>63</v>
      </c>
      <c r="D36" s="47">
        <v>1666666.0</v>
      </c>
      <c r="E36" s="47">
        <v>1666666.0</v>
      </c>
      <c r="F36" s="47">
        <v>1666666.0</v>
      </c>
      <c r="G36" s="47">
        <v>1666666.0</v>
      </c>
      <c r="H36" s="47">
        <v>1666667.0</v>
      </c>
      <c r="I36" s="47">
        <v>1666667.0</v>
      </c>
      <c r="J36" s="47">
        <v>1666667.0</v>
      </c>
      <c r="K36" s="47">
        <v>1666667.0</v>
      </c>
      <c r="L36" s="47">
        <v>1666667.0</v>
      </c>
      <c r="M36" s="47">
        <v>1666667.0</v>
      </c>
      <c r="N36" s="47">
        <v>1666667.0</v>
      </c>
      <c r="O36" s="47">
        <v>1666667.0</v>
      </c>
      <c r="P36" s="39">
        <f t="shared" si="20"/>
        <v>20000000</v>
      </c>
      <c r="Q36" s="39">
        <f>iferror(average(D36:O36),0)</f>
        <v>1666666.667</v>
      </c>
      <c r="R36" s="50"/>
    </row>
    <row r="37" ht="19.5" customHeight="1" outlineLevel="1">
      <c r="A37" s="43"/>
      <c r="B37" s="43"/>
      <c r="C37" s="3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39"/>
      <c r="Q37" s="39"/>
      <c r="R37" s="50"/>
    </row>
    <row r="38" ht="19.5" hidden="1" customHeight="1">
      <c r="A38" s="35"/>
      <c r="B38" s="36"/>
      <c r="C38" s="58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59"/>
      <c r="Q38" s="59"/>
      <c r="R38" s="50"/>
    </row>
    <row r="39" ht="24.0" customHeight="1">
      <c r="A39" s="56" t="s">
        <v>64</v>
      </c>
      <c r="B39" s="30"/>
      <c r="C39" s="31" t="s">
        <v>50</v>
      </c>
      <c r="D39" s="32">
        <f t="shared" ref="D39:O39" si="21">sum(D40:D44)</f>
        <v>0</v>
      </c>
      <c r="E39" s="32">
        <f t="shared" si="21"/>
        <v>0</v>
      </c>
      <c r="F39" s="32">
        <f t="shared" si="21"/>
        <v>0</v>
      </c>
      <c r="G39" s="32">
        <f t="shared" si="21"/>
        <v>0</v>
      </c>
      <c r="H39" s="32">
        <f t="shared" si="21"/>
        <v>0</v>
      </c>
      <c r="I39" s="32">
        <f t="shared" si="21"/>
        <v>0</v>
      </c>
      <c r="J39" s="32">
        <f t="shared" si="21"/>
        <v>0</v>
      </c>
      <c r="K39" s="32">
        <f t="shared" si="21"/>
        <v>0</v>
      </c>
      <c r="L39" s="32">
        <f t="shared" si="21"/>
        <v>0</v>
      </c>
      <c r="M39" s="32">
        <f t="shared" si="21"/>
        <v>0</v>
      </c>
      <c r="N39" s="32">
        <f t="shared" si="21"/>
        <v>0</v>
      </c>
      <c r="O39" s="32">
        <f t="shared" si="21"/>
        <v>0</v>
      </c>
      <c r="P39" s="33">
        <f t="shared" ref="P39:P44" si="22">sum(D39:O39)</f>
        <v>0</v>
      </c>
      <c r="Q39" s="33">
        <f>iferror(average(D39:O39),"")</f>
        <v>0</v>
      </c>
      <c r="R39" s="45"/>
    </row>
    <row r="40" ht="19.5" customHeight="1" outlineLevel="1">
      <c r="A40" s="60"/>
      <c r="B40" s="61"/>
      <c r="C40" s="37" t="s">
        <v>65</v>
      </c>
      <c r="D40" s="47">
        <v>0.0</v>
      </c>
      <c r="E40" s="47">
        <v>0.0</v>
      </c>
      <c r="F40" s="47">
        <v>0.0</v>
      </c>
      <c r="G40" s="47">
        <v>0.0</v>
      </c>
      <c r="H40" s="47">
        <v>0.0</v>
      </c>
      <c r="I40" s="47">
        <v>0.0</v>
      </c>
      <c r="J40" s="47">
        <v>0.0</v>
      </c>
      <c r="K40" s="47">
        <v>0.0</v>
      </c>
      <c r="L40" s="47">
        <v>0.0</v>
      </c>
      <c r="M40" s="47">
        <v>0.0</v>
      </c>
      <c r="N40" s="47">
        <v>0.0</v>
      </c>
      <c r="O40" s="47">
        <v>0.0</v>
      </c>
      <c r="P40" s="48">
        <f t="shared" si="22"/>
        <v>0</v>
      </c>
      <c r="Q40" s="48">
        <f t="shared" ref="Q40:Q44" si="23">iferror(average(D40:O40),0)</f>
        <v>0</v>
      </c>
      <c r="R40" s="50"/>
    </row>
    <row r="41" ht="19.5" customHeight="1" outlineLevel="1">
      <c r="A41" s="60"/>
      <c r="B41" s="61"/>
      <c r="C41" s="37" t="s">
        <v>66</v>
      </c>
      <c r="D41" s="47">
        <v>0.0</v>
      </c>
      <c r="E41" s="47">
        <v>0.0</v>
      </c>
      <c r="F41" s="47">
        <v>0.0</v>
      </c>
      <c r="G41" s="47">
        <v>0.0</v>
      </c>
      <c r="H41" s="47">
        <v>0.0</v>
      </c>
      <c r="I41" s="47">
        <v>0.0</v>
      </c>
      <c r="J41" s="47">
        <v>0.0</v>
      </c>
      <c r="K41" s="47">
        <v>0.0</v>
      </c>
      <c r="L41" s="47">
        <v>0.0</v>
      </c>
      <c r="M41" s="47">
        <v>0.0</v>
      </c>
      <c r="N41" s="47">
        <v>0.0</v>
      </c>
      <c r="O41" s="47">
        <v>0.0</v>
      </c>
      <c r="P41" s="48">
        <f t="shared" si="22"/>
        <v>0</v>
      </c>
      <c r="Q41" s="48">
        <f t="shared" si="23"/>
        <v>0</v>
      </c>
      <c r="R41" s="50"/>
    </row>
    <row r="42" ht="19.5" customHeight="1" outlineLevel="1">
      <c r="A42" s="60"/>
      <c r="B42" s="61"/>
      <c r="C42" s="37" t="s">
        <v>67</v>
      </c>
      <c r="D42" s="47">
        <v>0.0</v>
      </c>
      <c r="E42" s="47">
        <v>0.0</v>
      </c>
      <c r="F42" s="47">
        <v>0.0</v>
      </c>
      <c r="G42" s="47">
        <v>0.0</v>
      </c>
      <c r="H42" s="47">
        <v>0.0</v>
      </c>
      <c r="I42" s="47">
        <v>0.0</v>
      </c>
      <c r="J42" s="47">
        <v>0.0</v>
      </c>
      <c r="K42" s="47">
        <v>0.0</v>
      </c>
      <c r="L42" s="47">
        <v>0.0</v>
      </c>
      <c r="M42" s="47">
        <v>0.0</v>
      </c>
      <c r="N42" s="47">
        <v>0.0</v>
      </c>
      <c r="O42" s="47">
        <v>0.0</v>
      </c>
      <c r="P42" s="48">
        <f t="shared" si="22"/>
        <v>0</v>
      </c>
      <c r="Q42" s="48">
        <f t="shared" si="23"/>
        <v>0</v>
      </c>
      <c r="R42" s="50"/>
    </row>
    <row r="43" ht="19.5" customHeight="1" outlineLevel="1">
      <c r="A43" s="60"/>
      <c r="B43" s="61"/>
      <c r="C43" s="37" t="s">
        <v>68</v>
      </c>
      <c r="D43" s="47">
        <v>0.0</v>
      </c>
      <c r="E43" s="47">
        <v>0.0</v>
      </c>
      <c r="F43" s="47">
        <v>0.0</v>
      </c>
      <c r="G43" s="47">
        <v>0.0</v>
      </c>
      <c r="H43" s="47">
        <v>0.0</v>
      </c>
      <c r="I43" s="47">
        <v>0.0</v>
      </c>
      <c r="J43" s="47">
        <v>0.0</v>
      </c>
      <c r="K43" s="47">
        <v>0.0</v>
      </c>
      <c r="L43" s="47">
        <v>0.0</v>
      </c>
      <c r="M43" s="47">
        <v>0.0</v>
      </c>
      <c r="N43" s="47">
        <v>0.0</v>
      </c>
      <c r="O43" s="47">
        <v>0.0</v>
      </c>
      <c r="P43" s="48">
        <f t="shared" si="22"/>
        <v>0</v>
      </c>
      <c r="Q43" s="48">
        <f t="shared" si="23"/>
        <v>0</v>
      </c>
      <c r="R43" s="50"/>
    </row>
    <row r="44" ht="19.5" customHeight="1">
      <c r="A44" s="60"/>
      <c r="B44" s="61"/>
      <c r="C44" s="37" t="s">
        <v>69</v>
      </c>
      <c r="D44" s="47">
        <v>0.0</v>
      </c>
      <c r="E44" s="47">
        <v>0.0</v>
      </c>
      <c r="F44" s="47">
        <v>0.0</v>
      </c>
      <c r="G44" s="47">
        <v>0.0</v>
      </c>
      <c r="H44" s="47">
        <v>0.0</v>
      </c>
      <c r="I44" s="47">
        <v>0.0</v>
      </c>
      <c r="J44" s="47">
        <v>0.0</v>
      </c>
      <c r="K44" s="47">
        <v>0.0</v>
      </c>
      <c r="L44" s="47">
        <v>0.0</v>
      </c>
      <c r="M44" s="47">
        <v>0.0</v>
      </c>
      <c r="N44" s="47">
        <v>0.0</v>
      </c>
      <c r="O44" s="47">
        <v>0.0</v>
      </c>
      <c r="P44" s="48">
        <f t="shared" si="22"/>
        <v>0</v>
      </c>
      <c r="Q44" s="48">
        <f t="shared" si="23"/>
        <v>0</v>
      </c>
      <c r="R44" s="50"/>
    </row>
    <row r="45" ht="19.5" customHeight="1">
      <c r="A45" s="62"/>
      <c r="B45" s="63"/>
      <c r="C45" s="64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59"/>
      <c r="Q45" s="59"/>
      <c r="R45" s="50"/>
    </row>
    <row r="46" ht="24.0" customHeight="1">
      <c r="A46" s="51" t="s">
        <v>70</v>
      </c>
      <c r="B46" s="30"/>
      <c r="C46" s="31" t="s">
        <v>50</v>
      </c>
      <c r="D46" s="32">
        <f t="shared" ref="D46:P46" si="24">sum(D47:D51)</f>
        <v>0</v>
      </c>
      <c r="E46" s="32">
        <f t="shared" si="24"/>
        <v>0</v>
      </c>
      <c r="F46" s="32">
        <f t="shared" si="24"/>
        <v>0</v>
      </c>
      <c r="G46" s="32">
        <f t="shared" si="24"/>
        <v>0</v>
      </c>
      <c r="H46" s="32">
        <f t="shared" si="24"/>
        <v>0</v>
      </c>
      <c r="I46" s="32">
        <f t="shared" si="24"/>
        <v>0</v>
      </c>
      <c r="J46" s="32">
        <f t="shared" si="24"/>
        <v>0</v>
      </c>
      <c r="K46" s="32">
        <f t="shared" si="24"/>
        <v>0</v>
      </c>
      <c r="L46" s="32">
        <f t="shared" si="24"/>
        <v>0</v>
      </c>
      <c r="M46" s="32">
        <f t="shared" si="24"/>
        <v>0</v>
      </c>
      <c r="N46" s="32">
        <f t="shared" si="24"/>
        <v>0</v>
      </c>
      <c r="O46" s="32">
        <f t="shared" si="24"/>
        <v>0</v>
      </c>
      <c r="P46" s="32">
        <f t="shared" si="24"/>
        <v>0</v>
      </c>
      <c r="Q46" s="33">
        <f>iferror(average(D46:O46),"")</f>
        <v>0</v>
      </c>
      <c r="R46" s="45"/>
    </row>
    <row r="47" ht="19.5" customHeight="1" outlineLevel="1">
      <c r="A47" s="60"/>
      <c r="B47" s="61"/>
      <c r="C47" s="37" t="s">
        <v>71</v>
      </c>
      <c r="D47" s="47">
        <v>0.0</v>
      </c>
      <c r="E47" s="47">
        <v>0.0</v>
      </c>
      <c r="F47" s="47">
        <v>0.0</v>
      </c>
      <c r="G47" s="47">
        <v>0.0</v>
      </c>
      <c r="H47" s="47">
        <v>0.0</v>
      </c>
      <c r="I47" s="47">
        <v>0.0</v>
      </c>
      <c r="J47" s="47">
        <v>0.0</v>
      </c>
      <c r="K47" s="47">
        <v>0.0</v>
      </c>
      <c r="L47" s="47">
        <v>0.0</v>
      </c>
      <c r="M47" s="47">
        <v>0.0</v>
      </c>
      <c r="N47" s="47">
        <v>0.0</v>
      </c>
      <c r="O47" s="47">
        <v>0.0</v>
      </c>
      <c r="P47" s="47">
        <v>0.0</v>
      </c>
      <c r="Q47" s="47">
        <v>0.0</v>
      </c>
      <c r="R47" s="50"/>
    </row>
    <row r="48" ht="19.5" customHeight="1" outlineLevel="1">
      <c r="A48" s="60"/>
      <c r="B48" s="61"/>
      <c r="C48" s="37" t="s">
        <v>72</v>
      </c>
      <c r="D48" s="47">
        <v>0.0</v>
      </c>
      <c r="E48" s="47">
        <v>0.0</v>
      </c>
      <c r="F48" s="47">
        <v>0.0</v>
      </c>
      <c r="G48" s="47">
        <v>0.0</v>
      </c>
      <c r="H48" s="47">
        <v>0.0</v>
      </c>
      <c r="I48" s="47">
        <v>0.0</v>
      </c>
      <c r="J48" s="47">
        <v>0.0</v>
      </c>
      <c r="K48" s="47">
        <v>0.0</v>
      </c>
      <c r="L48" s="47">
        <v>0.0</v>
      </c>
      <c r="M48" s="47">
        <v>0.0</v>
      </c>
      <c r="N48" s="47">
        <v>0.0</v>
      </c>
      <c r="O48" s="47">
        <v>0.0</v>
      </c>
      <c r="P48" s="47">
        <v>0.0</v>
      </c>
      <c r="Q48" s="47">
        <v>0.0</v>
      </c>
      <c r="R48" s="50"/>
    </row>
    <row r="49" ht="19.5" customHeight="1" outlineLevel="1">
      <c r="A49" s="60"/>
      <c r="B49" s="61"/>
      <c r="C49" s="37" t="s">
        <v>73</v>
      </c>
      <c r="D49" s="47">
        <v>0.0</v>
      </c>
      <c r="E49" s="47">
        <v>0.0</v>
      </c>
      <c r="F49" s="47">
        <v>0.0</v>
      </c>
      <c r="G49" s="47">
        <v>0.0</v>
      </c>
      <c r="H49" s="47">
        <v>0.0</v>
      </c>
      <c r="I49" s="47">
        <v>0.0</v>
      </c>
      <c r="J49" s="47">
        <v>0.0</v>
      </c>
      <c r="K49" s="47">
        <v>0.0</v>
      </c>
      <c r="L49" s="47">
        <v>0.0</v>
      </c>
      <c r="M49" s="47">
        <v>0.0</v>
      </c>
      <c r="N49" s="47">
        <v>0.0</v>
      </c>
      <c r="O49" s="47">
        <v>0.0</v>
      </c>
      <c r="P49" s="47">
        <v>0.0</v>
      </c>
      <c r="Q49" s="47">
        <v>0.0</v>
      </c>
      <c r="R49" s="50"/>
    </row>
    <row r="50" ht="19.5" customHeight="1" outlineLevel="1">
      <c r="A50" s="60"/>
      <c r="B50" s="61"/>
      <c r="C50" s="37" t="s">
        <v>74</v>
      </c>
      <c r="D50" s="47">
        <v>0.0</v>
      </c>
      <c r="E50" s="47">
        <v>0.0</v>
      </c>
      <c r="F50" s="47">
        <v>0.0</v>
      </c>
      <c r="G50" s="47">
        <v>0.0</v>
      </c>
      <c r="H50" s="47">
        <v>0.0</v>
      </c>
      <c r="I50" s="47">
        <v>0.0</v>
      </c>
      <c r="J50" s="47">
        <v>0.0</v>
      </c>
      <c r="K50" s="47">
        <v>0.0</v>
      </c>
      <c r="L50" s="47">
        <v>0.0</v>
      </c>
      <c r="M50" s="47">
        <v>0.0</v>
      </c>
      <c r="N50" s="47">
        <v>0.0</v>
      </c>
      <c r="O50" s="47">
        <v>0.0</v>
      </c>
      <c r="P50" s="47">
        <v>0.0</v>
      </c>
      <c r="Q50" s="47">
        <v>0.0</v>
      </c>
      <c r="R50" s="50"/>
    </row>
    <row r="51" ht="19.5" customHeight="1" outlineLevel="1">
      <c r="A51" s="60"/>
      <c r="B51" s="61"/>
      <c r="C51" s="37" t="s">
        <v>61</v>
      </c>
      <c r="D51" s="47">
        <v>0.0</v>
      </c>
      <c r="E51" s="47">
        <v>0.0</v>
      </c>
      <c r="F51" s="47">
        <v>0.0</v>
      </c>
      <c r="G51" s="47">
        <v>0.0</v>
      </c>
      <c r="H51" s="47">
        <v>0.0</v>
      </c>
      <c r="I51" s="47">
        <v>0.0</v>
      </c>
      <c r="J51" s="47">
        <v>0.0</v>
      </c>
      <c r="K51" s="47">
        <v>0.0</v>
      </c>
      <c r="L51" s="47">
        <v>0.0</v>
      </c>
      <c r="M51" s="47">
        <v>0.0</v>
      </c>
      <c r="N51" s="47">
        <v>0.0</v>
      </c>
      <c r="O51" s="47">
        <v>0.0</v>
      </c>
      <c r="P51" s="48">
        <f>sum(D51:O51)</f>
        <v>0</v>
      </c>
      <c r="Q51" s="48">
        <f>iferror(average(D51:O51),0)</f>
        <v>0</v>
      </c>
      <c r="R51" s="50"/>
    </row>
    <row r="52" ht="19.5" customHeight="1">
      <c r="A52" s="60"/>
      <c r="B52" s="61"/>
      <c r="C52" s="58"/>
      <c r="D52" s="47"/>
      <c r="E52" s="47"/>
      <c r="F52" s="47"/>
      <c r="G52" s="47"/>
      <c r="H52" s="47"/>
      <c r="I52" s="47"/>
      <c r="J52" s="65"/>
      <c r="K52" s="65"/>
      <c r="L52" s="47"/>
      <c r="M52" s="47"/>
      <c r="N52" s="47"/>
      <c r="O52" s="47"/>
      <c r="P52" s="48"/>
      <c r="Q52" s="48"/>
      <c r="R52" s="50"/>
    </row>
    <row r="53" ht="19.5" hidden="1" customHeight="1">
      <c r="A53" s="66"/>
      <c r="B53" s="67"/>
      <c r="C53" s="58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59"/>
      <c r="Q53" s="59"/>
      <c r="R53" s="50"/>
    </row>
    <row r="54" ht="19.5" hidden="1" customHeight="1">
      <c r="A54" s="62"/>
      <c r="B54" s="63"/>
      <c r="C54" s="58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59"/>
      <c r="Q54" s="59"/>
      <c r="R54" s="50"/>
    </row>
    <row r="55" ht="19.5" customHeight="1">
      <c r="A55" s="60"/>
      <c r="B55" s="61"/>
      <c r="C55" s="58"/>
      <c r="D55" s="47"/>
      <c r="E55" s="47"/>
      <c r="F55" s="47"/>
      <c r="G55" s="47"/>
      <c r="H55" s="47"/>
      <c r="I55" s="47"/>
      <c r="J55" s="65"/>
      <c r="K55" s="65"/>
      <c r="L55" s="47"/>
      <c r="M55" s="47"/>
      <c r="N55" s="47"/>
      <c r="O55" s="47"/>
      <c r="P55" s="48"/>
      <c r="Q55" s="48"/>
      <c r="R55" s="50"/>
    </row>
    <row r="56" ht="19.5" customHeight="1">
      <c r="A56" s="62"/>
      <c r="B56" s="63"/>
      <c r="C56" s="58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59"/>
      <c r="Q56" s="59"/>
      <c r="R56" s="50"/>
    </row>
    <row r="57" ht="19.5" customHeight="1">
      <c r="A57" s="60"/>
      <c r="B57" s="61"/>
      <c r="C57" s="58"/>
      <c r="D57" s="53"/>
      <c r="E57" s="53"/>
      <c r="F57" s="53"/>
      <c r="G57" s="53"/>
      <c r="H57" s="53"/>
      <c r="I57" s="53"/>
      <c r="J57" s="68"/>
      <c r="K57" s="68"/>
      <c r="L57" s="53"/>
      <c r="M57" s="53"/>
      <c r="N57" s="53"/>
      <c r="O57" s="53"/>
      <c r="P57" s="69"/>
      <c r="Q57" s="69"/>
      <c r="R57" s="40"/>
    </row>
    <row r="58" ht="19.5" hidden="1" customHeight="1">
      <c r="A58" s="66"/>
      <c r="B58" s="67"/>
      <c r="C58" s="70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2"/>
      <c r="Q58" s="72"/>
      <c r="R58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13"/>
    <col customWidth="1" min="3" max="3" width="26.0"/>
    <col customWidth="1" min="4" max="5" width="15.13"/>
    <col customWidth="1" min="6" max="7" width="5.13"/>
  </cols>
  <sheetData>
    <row r="1" ht="6.0" customHeight="1">
      <c r="A1" s="73"/>
      <c r="B1" s="74"/>
      <c r="C1" s="74"/>
      <c r="D1" s="75"/>
      <c r="E1" s="75"/>
      <c r="F1" s="75"/>
      <c r="G1" s="74"/>
    </row>
    <row r="2" ht="42.0" customHeight="1">
      <c r="A2" s="76"/>
      <c r="B2" s="77" t="s">
        <v>75</v>
      </c>
      <c r="F2" s="78"/>
      <c r="G2" s="79"/>
    </row>
    <row r="3" ht="30.0" customHeight="1">
      <c r="A3" s="80"/>
      <c r="B3" s="81" t="s">
        <v>76</v>
      </c>
      <c r="G3" s="82"/>
    </row>
    <row r="4" ht="12.0" customHeight="1">
      <c r="A4" s="83"/>
      <c r="B4" s="84"/>
      <c r="C4" s="84"/>
      <c r="D4" s="85"/>
      <c r="E4" s="85"/>
      <c r="F4" s="85"/>
      <c r="G4" s="86"/>
    </row>
    <row r="5" ht="12.0" customHeight="1">
      <c r="A5" s="83"/>
      <c r="B5" s="86"/>
      <c r="C5" s="86"/>
      <c r="D5" s="87"/>
      <c r="E5" s="87"/>
      <c r="F5" s="87"/>
      <c r="G5" s="86"/>
    </row>
    <row r="6" ht="30.0" customHeight="1">
      <c r="A6" s="88"/>
      <c r="B6" s="89" t="s">
        <v>77</v>
      </c>
      <c r="D6" s="87"/>
      <c r="E6" s="87"/>
      <c r="F6" s="87"/>
      <c r="G6" s="90"/>
    </row>
    <row r="7" ht="22.5" customHeight="1">
      <c r="A7" s="91" t="s">
        <v>78</v>
      </c>
      <c r="B7" s="92" t="s">
        <v>79</v>
      </c>
      <c r="G7" s="93"/>
    </row>
    <row r="8" ht="22.5" customHeight="1">
      <c r="A8" s="91" t="s">
        <v>80</v>
      </c>
      <c r="B8" s="92" t="s">
        <v>81</v>
      </c>
      <c r="G8" s="94"/>
    </row>
    <row r="9" ht="22.5" customHeight="1">
      <c r="A9" s="91" t="s">
        <v>82</v>
      </c>
      <c r="B9" s="92" t="s">
        <v>83</v>
      </c>
      <c r="G9" s="94"/>
    </row>
    <row r="10" ht="18.0" customHeight="1">
      <c r="A10" s="83"/>
      <c r="B10" s="84"/>
      <c r="C10" s="84"/>
      <c r="D10" s="85"/>
      <c r="E10" s="85"/>
      <c r="F10" s="85"/>
      <c r="G10" s="86"/>
    </row>
    <row r="11" ht="18.0" customHeight="1">
      <c r="A11" s="83"/>
      <c r="B11" s="86"/>
      <c r="C11" s="86"/>
      <c r="D11" s="87"/>
      <c r="E11" s="87"/>
      <c r="F11" s="87"/>
      <c r="G11" s="86"/>
    </row>
    <row r="12" ht="30.0" customHeight="1">
      <c r="A12" s="88"/>
      <c r="B12" s="89" t="s">
        <v>84</v>
      </c>
      <c r="D12" s="87"/>
      <c r="E12" s="87"/>
      <c r="F12" s="87"/>
      <c r="G12" s="90"/>
    </row>
    <row r="13" ht="18.0" customHeight="1">
      <c r="A13" s="80"/>
      <c r="B13" s="95" t="s">
        <v>85</v>
      </c>
      <c r="C13" s="96">
        <v>0.0</v>
      </c>
      <c r="D13" s="97"/>
      <c r="E13" s="97"/>
      <c r="F13" s="97"/>
      <c r="G13" s="82"/>
    </row>
    <row r="14" ht="18.0" customHeight="1">
      <c r="A14" s="80"/>
      <c r="B14" s="98"/>
      <c r="C14" s="82"/>
      <c r="D14" s="99"/>
      <c r="E14" s="99"/>
      <c r="F14" s="99"/>
      <c r="G14" s="82"/>
    </row>
  </sheetData>
  <mergeCells count="7">
    <mergeCell ref="B2:E2"/>
    <mergeCell ref="B3:F3"/>
    <mergeCell ref="B6:C6"/>
    <mergeCell ref="B7:F7"/>
    <mergeCell ref="B8:F8"/>
    <mergeCell ref="B9:F9"/>
    <mergeCell ref="B12:C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20.13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19"/>
      <c r="B1" s="19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23"/>
      <c r="R1" s="23"/>
    </row>
    <row r="2" ht="38.25" customHeight="1">
      <c r="A2" s="24"/>
      <c r="B2" s="24"/>
      <c r="C2" s="25" t="s">
        <v>86</v>
      </c>
      <c r="D2" s="26">
        <v>36526.0</v>
      </c>
      <c r="E2" s="26">
        <v>36557.0</v>
      </c>
      <c r="F2" s="26">
        <v>36586.0</v>
      </c>
      <c r="G2" s="26">
        <v>36617.0</v>
      </c>
      <c r="H2" s="26">
        <v>36647.0</v>
      </c>
      <c r="I2" s="26">
        <v>36678.0</v>
      </c>
      <c r="J2" s="26">
        <v>36708.0</v>
      </c>
      <c r="K2" s="26">
        <v>36739.0</v>
      </c>
      <c r="L2" s="26">
        <v>36770.0</v>
      </c>
      <c r="M2" s="26">
        <v>36800.0</v>
      </c>
      <c r="N2" s="26">
        <v>36831.0</v>
      </c>
      <c r="O2" s="26">
        <v>36861.0</v>
      </c>
      <c r="P2" s="27" t="s">
        <v>43</v>
      </c>
      <c r="Q2" s="28" t="s">
        <v>49</v>
      </c>
      <c r="R2" s="28"/>
    </row>
    <row r="3" ht="24.0" customHeight="1">
      <c r="A3" s="51" t="s">
        <v>87</v>
      </c>
      <c r="B3" s="30"/>
      <c r="C3" s="31" t="s">
        <v>50</v>
      </c>
      <c r="D3" s="32">
        <f t="shared" ref="D3:O3" si="1">sum(D4:D7)</f>
        <v>20000000</v>
      </c>
      <c r="E3" s="32">
        <f t="shared" si="1"/>
        <v>0</v>
      </c>
      <c r="F3" s="32">
        <f t="shared" si="1"/>
        <v>0</v>
      </c>
      <c r="G3" s="32">
        <f t="shared" si="1"/>
        <v>0</v>
      </c>
      <c r="H3" s="32">
        <f t="shared" si="1"/>
        <v>45000000</v>
      </c>
      <c r="I3" s="32">
        <f t="shared" si="1"/>
        <v>0</v>
      </c>
      <c r="J3" s="32">
        <f t="shared" si="1"/>
        <v>0</v>
      </c>
      <c r="K3" s="32">
        <f t="shared" si="1"/>
        <v>0</v>
      </c>
      <c r="L3" s="32">
        <f t="shared" si="1"/>
        <v>0</v>
      </c>
      <c r="M3" s="32">
        <f t="shared" si="1"/>
        <v>0</v>
      </c>
      <c r="N3" s="32">
        <f t="shared" si="1"/>
        <v>0</v>
      </c>
      <c r="O3" s="32">
        <f t="shared" si="1"/>
        <v>0</v>
      </c>
      <c r="P3" s="33">
        <f t="shared" ref="P3:P5" si="2">sum(D3:O3)</f>
        <v>65000000</v>
      </c>
      <c r="Q3" s="33">
        <f>iferror(average(D3:O3),"")</f>
        <v>5416666.667</v>
      </c>
      <c r="R3" s="34"/>
    </row>
    <row r="4" ht="19.5" customHeight="1" outlineLevel="1">
      <c r="A4" s="35"/>
      <c r="B4" s="36"/>
      <c r="C4" s="37" t="s">
        <v>88</v>
      </c>
      <c r="D4" s="47">
        <v>2.0E7</v>
      </c>
      <c r="E4" s="47">
        <v>0.0</v>
      </c>
      <c r="F4" s="47">
        <v>0.0</v>
      </c>
      <c r="G4" s="47">
        <v>0.0</v>
      </c>
      <c r="H4" s="47">
        <v>0.0</v>
      </c>
      <c r="I4" s="47">
        <v>0.0</v>
      </c>
      <c r="J4" s="47">
        <v>0.0</v>
      </c>
      <c r="K4" s="47">
        <v>0.0</v>
      </c>
      <c r="L4" s="47">
        <v>0.0</v>
      </c>
      <c r="M4" s="47">
        <v>0.0</v>
      </c>
      <c r="N4" s="47">
        <v>0.0</v>
      </c>
      <c r="O4" s="47">
        <v>0.0</v>
      </c>
      <c r="P4" s="48">
        <f t="shared" si="2"/>
        <v>20000000</v>
      </c>
      <c r="Q4" s="48">
        <f t="shared" ref="Q4:Q5" si="3">iferror(average(D4:O4),0)</f>
        <v>1666666.667</v>
      </c>
      <c r="R4" s="40"/>
    </row>
    <row r="5" ht="19.5" customHeight="1" outlineLevel="1">
      <c r="A5" s="35"/>
      <c r="B5" s="36"/>
      <c r="C5" s="37" t="s">
        <v>89</v>
      </c>
      <c r="D5" s="47">
        <v>0.0</v>
      </c>
      <c r="E5" s="47">
        <v>0.0</v>
      </c>
      <c r="F5" s="47">
        <v>0.0</v>
      </c>
      <c r="G5" s="47">
        <v>0.0</v>
      </c>
      <c r="H5" s="47">
        <v>4.5E7</v>
      </c>
      <c r="I5" s="47">
        <v>0.0</v>
      </c>
      <c r="J5" s="47">
        <v>0.0</v>
      </c>
      <c r="K5" s="47">
        <v>0.0</v>
      </c>
      <c r="L5" s="47">
        <v>0.0</v>
      </c>
      <c r="M5" s="47">
        <v>0.0</v>
      </c>
      <c r="N5" s="47">
        <v>0.0</v>
      </c>
      <c r="O5" s="47">
        <v>0.0</v>
      </c>
      <c r="P5" s="48">
        <f t="shared" si="2"/>
        <v>45000000</v>
      </c>
      <c r="Q5" s="48">
        <f t="shared" si="3"/>
        <v>3750000</v>
      </c>
      <c r="R5" s="40"/>
    </row>
    <row r="6" ht="19.5" customHeight="1">
      <c r="A6" s="35"/>
      <c r="B6" s="36"/>
      <c r="C6" s="58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8"/>
      <c r="Q6" s="48"/>
      <c r="R6" s="40"/>
    </row>
    <row r="7" ht="19.5" hidden="1" customHeight="1">
      <c r="A7" s="35"/>
      <c r="B7" s="36"/>
      <c r="C7" s="3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59"/>
      <c r="Q7" s="59"/>
      <c r="R7" s="40"/>
    </row>
    <row r="8" ht="24.0" customHeight="1">
      <c r="A8" s="51" t="s">
        <v>61</v>
      </c>
      <c r="B8" s="30"/>
      <c r="C8" s="31" t="s">
        <v>50</v>
      </c>
      <c r="D8" s="32">
        <f t="shared" ref="D8:O8" si="4">sum(D9:D16)</f>
        <v>0</v>
      </c>
      <c r="E8" s="32">
        <f t="shared" si="4"/>
        <v>0</v>
      </c>
      <c r="F8" s="32">
        <f t="shared" si="4"/>
        <v>0</v>
      </c>
      <c r="G8" s="32">
        <f t="shared" si="4"/>
        <v>0</v>
      </c>
      <c r="H8" s="32">
        <f t="shared" si="4"/>
        <v>0</v>
      </c>
      <c r="I8" s="32">
        <f t="shared" si="4"/>
        <v>0</v>
      </c>
      <c r="J8" s="32">
        <f t="shared" si="4"/>
        <v>0</v>
      </c>
      <c r="K8" s="32">
        <f t="shared" si="4"/>
        <v>0</v>
      </c>
      <c r="L8" s="32">
        <f t="shared" si="4"/>
        <v>0</v>
      </c>
      <c r="M8" s="32">
        <f t="shared" si="4"/>
        <v>0</v>
      </c>
      <c r="N8" s="32">
        <f t="shared" si="4"/>
        <v>0</v>
      </c>
      <c r="O8" s="32">
        <f t="shared" si="4"/>
        <v>0</v>
      </c>
      <c r="P8" s="33">
        <f t="shared" ref="P8:P14" si="5">sum(D8:O8)</f>
        <v>0</v>
      </c>
      <c r="Q8" s="33">
        <f>iferror(average(D8:O8),"")</f>
        <v>0</v>
      </c>
      <c r="R8" s="34"/>
    </row>
    <row r="9" ht="19.5" customHeight="1" outlineLevel="1">
      <c r="A9" s="35"/>
      <c r="B9" s="36"/>
      <c r="C9" s="37" t="s">
        <v>90</v>
      </c>
      <c r="D9" s="47">
        <v>0.0</v>
      </c>
      <c r="E9" s="47">
        <v>0.0</v>
      </c>
      <c r="F9" s="47">
        <v>0.0</v>
      </c>
      <c r="G9" s="47">
        <v>0.0</v>
      </c>
      <c r="H9" s="47">
        <v>0.0</v>
      </c>
      <c r="I9" s="47">
        <v>0.0</v>
      </c>
      <c r="J9" s="47">
        <v>0.0</v>
      </c>
      <c r="K9" s="47">
        <v>0.0</v>
      </c>
      <c r="L9" s="47">
        <v>0.0</v>
      </c>
      <c r="M9" s="47">
        <v>0.0</v>
      </c>
      <c r="N9" s="47">
        <v>0.0</v>
      </c>
      <c r="O9" s="47">
        <v>0.0</v>
      </c>
      <c r="P9" s="48">
        <f t="shared" si="5"/>
        <v>0</v>
      </c>
      <c r="Q9" s="48">
        <f t="shared" ref="Q9:Q14" si="6">iferror(average(D9:O9),0)</f>
        <v>0</v>
      </c>
      <c r="R9" s="40"/>
    </row>
    <row r="10" ht="19.5" customHeight="1" outlineLevel="1">
      <c r="A10" s="35"/>
      <c r="B10" s="36"/>
      <c r="C10" s="37" t="s">
        <v>91</v>
      </c>
      <c r="D10" s="47">
        <v>0.0</v>
      </c>
      <c r="E10" s="47">
        <v>0.0</v>
      </c>
      <c r="F10" s="47">
        <v>0.0</v>
      </c>
      <c r="G10" s="47">
        <v>0.0</v>
      </c>
      <c r="H10" s="47">
        <v>0.0</v>
      </c>
      <c r="I10" s="47">
        <v>0.0</v>
      </c>
      <c r="J10" s="47">
        <v>0.0</v>
      </c>
      <c r="K10" s="47">
        <v>0.0</v>
      </c>
      <c r="L10" s="47">
        <v>0.0</v>
      </c>
      <c r="M10" s="47">
        <v>0.0</v>
      </c>
      <c r="N10" s="47">
        <v>0.0</v>
      </c>
      <c r="O10" s="47">
        <v>0.0</v>
      </c>
      <c r="P10" s="48">
        <f t="shared" si="5"/>
        <v>0</v>
      </c>
      <c r="Q10" s="48">
        <f t="shared" si="6"/>
        <v>0</v>
      </c>
      <c r="R10" s="40"/>
    </row>
    <row r="11" ht="19.5" customHeight="1" outlineLevel="1">
      <c r="A11" s="35"/>
      <c r="B11" s="36"/>
      <c r="C11" s="37" t="s">
        <v>92</v>
      </c>
      <c r="D11" s="47">
        <v>0.0</v>
      </c>
      <c r="E11" s="47">
        <v>0.0</v>
      </c>
      <c r="F11" s="47">
        <v>0.0</v>
      </c>
      <c r="G11" s="47">
        <v>0.0</v>
      </c>
      <c r="H11" s="47">
        <v>0.0</v>
      </c>
      <c r="I11" s="47">
        <v>0.0</v>
      </c>
      <c r="J11" s="47">
        <v>0.0</v>
      </c>
      <c r="K11" s="47">
        <v>0.0</v>
      </c>
      <c r="L11" s="47">
        <v>0.0</v>
      </c>
      <c r="M11" s="47">
        <v>0.0</v>
      </c>
      <c r="N11" s="47">
        <v>0.0</v>
      </c>
      <c r="O11" s="47">
        <v>0.0</v>
      </c>
      <c r="P11" s="48">
        <f t="shared" si="5"/>
        <v>0</v>
      </c>
      <c r="Q11" s="48">
        <f t="shared" si="6"/>
        <v>0</v>
      </c>
      <c r="R11" s="40"/>
    </row>
    <row r="12" ht="19.5" customHeight="1" outlineLevel="1">
      <c r="A12" s="35"/>
      <c r="B12" s="36"/>
      <c r="C12" s="37" t="s">
        <v>93</v>
      </c>
      <c r="D12" s="47">
        <v>0.0</v>
      </c>
      <c r="E12" s="47">
        <v>0.0</v>
      </c>
      <c r="F12" s="47">
        <v>0.0</v>
      </c>
      <c r="G12" s="47">
        <v>0.0</v>
      </c>
      <c r="H12" s="47">
        <v>0.0</v>
      </c>
      <c r="I12" s="47">
        <v>0.0</v>
      </c>
      <c r="J12" s="47">
        <v>0.0</v>
      </c>
      <c r="K12" s="47">
        <v>0.0</v>
      </c>
      <c r="L12" s="47">
        <v>0.0</v>
      </c>
      <c r="M12" s="47">
        <v>0.0</v>
      </c>
      <c r="N12" s="47">
        <v>0.0</v>
      </c>
      <c r="O12" s="47">
        <v>0.0</v>
      </c>
      <c r="P12" s="48">
        <f t="shared" si="5"/>
        <v>0</v>
      </c>
      <c r="Q12" s="48">
        <f t="shared" si="6"/>
        <v>0</v>
      </c>
      <c r="R12" s="40"/>
    </row>
    <row r="13" ht="19.5" customHeight="1" outlineLevel="1">
      <c r="A13" s="35"/>
      <c r="B13" s="36"/>
      <c r="C13" s="37" t="s">
        <v>94</v>
      </c>
      <c r="D13" s="47">
        <v>0.0</v>
      </c>
      <c r="E13" s="47">
        <v>0.0</v>
      </c>
      <c r="F13" s="47">
        <v>0.0</v>
      </c>
      <c r="G13" s="47">
        <v>0.0</v>
      </c>
      <c r="H13" s="47">
        <v>0.0</v>
      </c>
      <c r="I13" s="47">
        <v>0.0</v>
      </c>
      <c r="J13" s="47">
        <v>0.0</v>
      </c>
      <c r="K13" s="47">
        <v>0.0</v>
      </c>
      <c r="L13" s="47">
        <v>0.0</v>
      </c>
      <c r="M13" s="47">
        <v>0.0</v>
      </c>
      <c r="N13" s="47">
        <v>0.0</v>
      </c>
      <c r="O13" s="47">
        <v>0.0</v>
      </c>
      <c r="P13" s="48">
        <f t="shared" si="5"/>
        <v>0</v>
      </c>
      <c r="Q13" s="48">
        <f t="shared" si="6"/>
        <v>0</v>
      </c>
      <c r="R13" s="40"/>
    </row>
    <row r="14" ht="19.5" customHeight="1" outlineLevel="1">
      <c r="A14" s="35"/>
      <c r="B14" s="36"/>
      <c r="C14" s="37" t="s">
        <v>61</v>
      </c>
      <c r="D14" s="47">
        <v>0.0</v>
      </c>
      <c r="E14" s="47">
        <v>0.0</v>
      </c>
      <c r="F14" s="47">
        <v>0.0</v>
      </c>
      <c r="G14" s="47">
        <v>0.0</v>
      </c>
      <c r="H14" s="47">
        <v>0.0</v>
      </c>
      <c r="I14" s="47">
        <v>0.0</v>
      </c>
      <c r="J14" s="47">
        <v>0.0</v>
      </c>
      <c r="K14" s="47">
        <v>0.0</v>
      </c>
      <c r="L14" s="47">
        <v>0.0</v>
      </c>
      <c r="M14" s="47">
        <v>0.0</v>
      </c>
      <c r="N14" s="47">
        <v>0.0</v>
      </c>
      <c r="O14" s="47">
        <v>0.0</v>
      </c>
      <c r="P14" s="48">
        <f t="shared" si="5"/>
        <v>0</v>
      </c>
      <c r="Q14" s="48">
        <f t="shared" si="6"/>
        <v>0</v>
      </c>
      <c r="R14" s="40"/>
    </row>
    <row r="15" ht="19.5" customHeight="1">
      <c r="A15" s="35"/>
      <c r="B15" s="36"/>
      <c r="C15" s="58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1"/>
      <c r="Q15" s="101"/>
      <c r="R15" s="40"/>
    </row>
    <row r="16" ht="19.5" hidden="1" customHeight="1">
      <c r="A16" s="60"/>
      <c r="B16" s="61"/>
      <c r="C16" s="58"/>
      <c r="D16" s="102"/>
      <c r="E16" s="102"/>
      <c r="F16" s="102"/>
      <c r="G16" s="102"/>
      <c r="H16" s="102"/>
      <c r="I16" s="102"/>
      <c r="J16" s="103"/>
      <c r="K16" s="103"/>
      <c r="L16" s="103"/>
      <c r="M16" s="103"/>
      <c r="N16" s="103"/>
      <c r="O16" s="103"/>
      <c r="P16" s="104"/>
      <c r="Q16" s="104"/>
      <c r="R16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hidden="1" min="2" max="2" width="5.13"/>
    <col customWidth="1" min="3" max="3" width="15.13"/>
    <col customWidth="1" min="4" max="15" width="10.13"/>
    <col customWidth="1" min="16" max="16" width="12.63"/>
    <col customWidth="1" min="17" max="17" width="10.13"/>
    <col customWidth="1" min="18" max="18" width="5.13"/>
  </cols>
  <sheetData>
    <row r="1" ht="6.0" customHeight="1">
      <c r="A1" s="105"/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8"/>
      <c r="O1" s="108"/>
      <c r="P1" s="109"/>
      <c r="Q1" s="109"/>
      <c r="R1" s="108"/>
    </row>
    <row r="2" ht="30.0" customHeight="1">
      <c r="A2" s="110"/>
      <c r="B2" s="111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2"/>
      <c r="O2" s="112"/>
      <c r="P2" s="113"/>
      <c r="Q2" s="113"/>
      <c r="R2" s="112"/>
    </row>
    <row r="3" ht="24.0" customHeight="1">
      <c r="A3" s="114"/>
      <c r="B3" s="115"/>
      <c r="C3" s="116" t="s">
        <v>95</v>
      </c>
      <c r="D3" s="117"/>
      <c r="E3" s="117"/>
      <c r="F3" s="117"/>
      <c r="G3" s="117"/>
      <c r="H3" s="117"/>
      <c r="I3" s="118"/>
      <c r="J3" s="117"/>
      <c r="K3" s="119" t="s">
        <v>96</v>
      </c>
      <c r="L3" s="120"/>
      <c r="M3" s="120"/>
      <c r="N3" s="121"/>
      <c r="O3" s="121"/>
      <c r="P3" s="122"/>
      <c r="Q3" s="122"/>
      <c r="R3" s="121"/>
    </row>
    <row r="4" ht="18.0" customHeight="1">
      <c r="A4" s="114"/>
      <c r="B4" s="115"/>
      <c r="C4" s="123" t="s">
        <v>97</v>
      </c>
      <c r="D4" s="124"/>
      <c r="E4" s="124"/>
      <c r="F4" s="124"/>
      <c r="G4" s="124"/>
      <c r="H4" s="124"/>
      <c r="I4" s="124"/>
      <c r="J4" s="124"/>
      <c r="K4" s="125" t="s">
        <v>98</v>
      </c>
      <c r="N4" s="126"/>
      <c r="O4" s="121"/>
      <c r="P4" s="122"/>
      <c r="Q4" s="122"/>
      <c r="R4" s="121"/>
    </row>
    <row r="5" ht="24.0" customHeight="1">
      <c r="A5" s="114"/>
      <c r="B5" s="115"/>
      <c r="C5" s="127" t="s">
        <v>99</v>
      </c>
      <c r="D5" s="128"/>
      <c r="E5" s="129"/>
      <c r="F5" s="129"/>
      <c r="G5" s="130"/>
      <c r="H5" s="129"/>
      <c r="I5" s="131"/>
      <c r="J5" s="129"/>
      <c r="K5" s="132" t="s">
        <v>100</v>
      </c>
      <c r="L5" s="129"/>
      <c r="M5" s="129"/>
      <c r="N5" s="133"/>
      <c r="O5" s="133"/>
      <c r="P5" s="134"/>
      <c r="Q5" s="134"/>
      <c r="R5" s="133"/>
    </row>
    <row r="6" ht="30.0" customHeight="1">
      <c r="A6" s="135"/>
      <c r="B6" s="136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7"/>
      <c r="Q6" s="137"/>
      <c r="R6" s="135"/>
    </row>
    <row r="7" ht="18.0" customHeight="1">
      <c r="A7" s="114"/>
      <c r="B7" s="115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9"/>
      <c r="Q7" s="139"/>
      <c r="R7" s="121"/>
    </row>
    <row r="8" ht="18.0" customHeight="1">
      <c r="A8" s="114"/>
      <c r="B8" s="115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9"/>
      <c r="Q8" s="139"/>
      <c r="R8" s="121"/>
    </row>
    <row r="9" ht="18.0" customHeight="1">
      <c r="A9" s="114"/>
      <c r="B9" s="115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9"/>
      <c r="Q9" s="139"/>
      <c r="R9" s="121"/>
    </row>
    <row r="10" ht="18.0" customHeight="1">
      <c r="A10" s="114"/>
      <c r="B10" s="115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9"/>
      <c r="Q10" s="139"/>
      <c r="R10" s="121"/>
    </row>
    <row r="11" ht="18.0" customHeight="1">
      <c r="A11" s="114"/>
      <c r="B11" s="115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9"/>
      <c r="Q11" s="139"/>
      <c r="R11" s="121"/>
    </row>
    <row r="12" ht="18.0" customHeight="1">
      <c r="A12" s="114"/>
      <c r="B12" s="115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9"/>
      <c r="Q12" s="139"/>
      <c r="R12" s="121"/>
    </row>
    <row r="13" ht="18.0" customHeight="1">
      <c r="A13" s="114"/>
      <c r="B13" s="115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9"/>
      <c r="Q13" s="139"/>
      <c r="R13" s="121"/>
    </row>
    <row r="14" ht="18.0" customHeight="1">
      <c r="A14" s="114"/>
      <c r="B14" s="115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9"/>
      <c r="Q14" s="139"/>
      <c r="R14" s="121"/>
    </row>
    <row r="15" ht="18.0" customHeight="1">
      <c r="A15" s="114"/>
      <c r="B15" s="115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9"/>
      <c r="Q15" s="139"/>
      <c r="R15" s="121"/>
    </row>
    <row r="16" ht="18.0" customHeight="1">
      <c r="A16" s="114"/>
      <c r="B16" s="115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9"/>
      <c r="Q16" s="139"/>
      <c r="R16" s="121"/>
    </row>
    <row r="17" ht="18.0" customHeight="1">
      <c r="A17" s="114"/>
      <c r="B17" s="115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9"/>
      <c r="Q17" s="139"/>
      <c r="R17" s="121"/>
    </row>
    <row r="18" ht="18.0" customHeight="1">
      <c r="A18" s="114"/>
      <c r="B18" s="115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9"/>
      <c r="Q18" s="139"/>
      <c r="R18" s="121"/>
    </row>
    <row r="19" ht="18.0" customHeight="1">
      <c r="A19" s="114"/>
      <c r="B19" s="115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9"/>
      <c r="Q19" s="139"/>
      <c r="R19" s="121"/>
    </row>
    <row r="20" ht="30.0" customHeight="1">
      <c r="A20" s="114"/>
      <c r="B20" s="115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40"/>
      <c r="O20" s="121"/>
      <c r="P20" s="122"/>
      <c r="Q20" s="122"/>
      <c r="R20" s="121"/>
    </row>
    <row r="21" ht="19.5" customHeight="1">
      <c r="A21" s="114"/>
      <c r="B21" s="115"/>
      <c r="C21" s="141" t="s">
        <v>25</v>
      </c>
      <c r="D21" s="142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4"/>
      <c r="Q21" s="144"/>
      <c r="R21" s="143"/>
    </row>
    <row r="22" ht="19.5" customHeight="1">
      <c r="A22" s="145"/>
      <c r="B22" s="146"/>
      <c r="C22" s="147"/>
      <c r="D22" s="148">
        <v>36526.0</v>
      </c>
      <c r="E22" s="148">
        <v>36557.0</v>
      </c>
      <c r="F22" s="148">
        <v>36586.0</v>
      </c>
      <c r="G22" s="148">
        <v>36617.0</v>
      </c>
      <c r="H22" s="148">
        <v>36647.0</v>
      </c>
      <c r="I22" s="148">
        <v>36678.0</v>
      </c>
      <c r="J22" s="148">
        <v>36708.0</v>
      </c>
      <c r="K22" s="148">
        <v>36739.0</v>
      </c>
      <c r="L22" s="148">
        <v>36770.0</v>
      </c>
      <c r="M22" s="148">
        <v>36800.0</v>
      </c>
      <c r="N22" s="148">
        <v>36831.0</v>
      </c>
      <c r="O22" s="148">
        <v>36861.0</v>
      </c>
      <c r="P22" s="149" t="s">
        <v>43</v>
      </c>
      <c r="Q22" s="149" t="s">
        <v>49</v>
      </c>
      <c r="R22" s="150"/>
    </row>
    <row r="23" ht="24.0" customHeight="1">
      <c r="A23" s="114"/>
      <c r="B23" s="115"/>
      <c r="C23" s="151" t="s">
        <v>86</v>
      </c>
      <c r="D23" s="152">
        <f t="shared" ref="D23:O23" si="1">sum(D31:D41)</f>
        <v>20000000</v>
      </c>
      <c r="E23" s="152">
        <f t="shared" si="1"/>
        <v>0</v>
      </c>
      <c r="F23" s="152">
        <f t="shared" si="1"/>
        <v>0</v>
      </c>
      <c r="G23" s="152">
        <f t="shared" si="1"/>
        <v>0</v>
      </c>
      <c r="H23" s="152">
        <f t="shared" si="1"/>
        <v>45000000</v>
      </c>
      <c r="I23" s="152">
        <f t="shared" si="1"/>
        <v>0</v>
      </c>
      <c r="J23" s="152">
        <f t="shared" si="1"/>
        <v>0</v>
      </c>
      <c r="K23" s="152">
        <f t="shared" si="1"/>
        <v>0</v>
      </c>
      <c r="L23" s="152">
        <f t="shared" si="1"/>
        <v>0</v>
      </c>
      <c r="M23" s="152">
        <f t="shared" si="1"/>
        <v>0</v>
      </c>
      <c r="N23" s="152">
        <f t="shared" si="1"/>
        <v>0</v>
      </c>
      <c r="O23" s="152">
        <f t="shared" si="1"/>
        <v>0</v>
      </c>
      <c r="P23" s="153">
        <f t="shared" ref="P23:P25" si="3">sum(D23:O23)</f>
        <v>65000000</v>
      </c>
      <c r="Q23" s="153">
        <f t="shared" ref="Q23:Q25" si="4">iferror(averageif(D23:O23, "&gt;0", D23:O23), 0)</f>
        <v>32500000</v>
      </c>
      <c r="R23" s="154"/>
    </row>
    <row r="24" ht="21.0" customHeight="1">
      <c r="A24" s="155"/>
      <c r="B24" s="156"/>
      <c r="C24" s="157" t="s">
        <v>48</v>
      </c>
      <c r="D24" s="158">
        <f t="shared" ref="D24:O24" si="2">sum(D44:D58)</f>
        <v>6924960</v>
      </c>
      <c r="E24" s="158">
        <f t="shared" si="2"/>
        <v>4556666</v>
      </c>
      <c r="F24" s="158">
        <f t="shared" si="2"/>
        <v>3356666</v>
      </c>
      <c r="G24" s="158">
        <f t="shared" si="2"/>
        <v>5036666</v>
      </c>
      <c r="H24" s="158">
        <f t="shared" si="2"/>
        <v>5561111</v>
      </c>
      <c r="I24" s="158">
        <f t="shared" si="2"/>
        <v>5231111</v>
      </c>
      <c r="J24" s="158">
        <f t="shared" si="2"/>
        <v>5231111</v>
      </c>
      <c r="K24" s="158">
        <f t="shared" si="2"/>
        <v>5561111</v>
      </c>
      <c r="L24" s="158">
        <f t="shared" si="2"/>
        <v>5231112</v>
      </c>
      <c r="M24" s="158">
        <f t="shared" si="2"/>
        <v>5231112</v>
      </c>
      <c r="N24" s="158">
        <f t="shared" si="2"/>
        <v>5602112</v>
      </c>
      <c r="O24" s="158">
        <f t="shared" si="2"/>
        <v>3442112</v>
      </c>
      <c r="P24" s="159">
        <f t="shared" si="3"/>
        <v>60965850</v>
      </c>
      <c r="Q24" s="160">
        <f t="shared" si="4"/>
        <v>5080487.5</v>
      </c>
      <c r="R24" s="161"/>
    </row>
    <row r="25" ht="21.0" customHeight="1">
      <c r="A25" s="162"/>
      <c r="B25" s="163"/>
      <c r="C25" s="164" t="s">
        <v>101</v>
      </c>
      <c r="D25" s="165">
        <f t="shared" ref="D25:O25" si="5">D23-D24</f>
        <v>13075040</v>
      </c>
      <c r="E25" s="165">
        <f t="shared" si="5"/>
        <v>-4556666</v>
      </c>
      <c r="F25" s="165">
        <f t="shared" si="5"/>
        <v>-3356666</v>
      </c>
      <c r="G25" s="165">
        <f t="shared" si="5"/>
        <v>-5036666</v>
      </c>
      <c r="H25" s="165">
        <f t="shared" si="5"/>
        <v>39438889</v>
      </c>
      <c r="I25" s="165">
        <f t="shared" si="5"/>
        <v>-5231111</v>
      </c>
      <c r="J25" s="165">
        <f t="shared" si="5"/>
        <v>-5231111</v>
      </c>
      <c r="K25" s="165">
        <f t="shared" si="5"/>
        <v>-5561111</v>
      </c>
      <c r="L25" s="165">
        <f t="shared" si="5"/>
        <v>-5231112</v>
      </c>
      <c r="M25" s="165">
        <f t="shared" si="5"/>
        <v>-5231112</v>
      </c>
      <c r="N25" s="165">
        <f t="shared" si="5"/>
        <v>-5602112</v>
      </c>
      <c r="O25" s="165">
        <f t="shared" si="5"/>
        <v>-3442112</v>
      </c>
      <c r="P25" s="166">
        <f t="shared" si="3"/>
        <v>4034150</v>
      </c>
      <c r="Q25" s="166">
        <f t="shared" si="4"/>
        <v>26256964.5</v>
      </c>
      <c r="R25" s="167"/>
    </row>
    <row r="26" ht="21.0" customHeight="1">
      <c r="A26" s="114"/>
      <c r="B26" s="115"/>
      <c r="C26" s="168" t="s">
        <v>102</v>
      </c>
      <c r="D26" s="169">
        <f>(StartingBalance+D23)-D24</f>
        <v>13075040</v>
      </c>
      <c r="E26" s="169">
        <f t="shared" ref="E26:O26" si="6">(D26+E23)-E24</f>
        <v>8518374</v>
      </c>
      <c r="F26" s="169">
        <f t="shared" si="6"/>
        <v>5161708</v>
      </c>
      <c r="G26" s="169">
        <f t="shared" si="6"/>
        <v>125042</v>
      </c>
      <c r="H26" s="169">
        <f t="shared" si="6"/>
        <v>39563931</v>
      </c>
      <c r="I26" s="169">
        <f t="shared" si="6"/>
        <v>34332820</v>
      </c>
      <c r="J26" s="169">
        <f t="shared" si="6"/>
        <v>29101709</v>
      </c>
      <c r="K26" s="169">
        <f t="shared" si="6"/>
        <v>23540598</v>
      </c>
      <c r="L26" s="169">
        <f t="shared" si="6"/>
        <v>18309486</v>
      </c>
      <c r="M26" s="169">
        <f t="shared" si="6"/>
        <v>13078374</v>
      </c>
      <c r="N26" s="169">
        <f t="shared" si="6"/>
        <v>7476262</v>
      </c>
      <c r="O26" s="169">
        <f t="shared" si="6"/>
        <v>4034150</v>
      </c>
      <c r="P26" s="153"/>
      <c r="Q26" s="170">
        <f>iferror(averageif(D26:O26, "&gt;0", D26:O26),"")</f>
        <v>16359791.17</v>
      </c>
      <c r="R26" s="154"/>
    </row>
    <row r="27" ht="19.5" customHeight="1">
      <c r="A27" s="114"/>
      <c r="B27" s="115"/>
      <c r="C27" s="12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2"/>
      <c r="Q27" s="172"/>
      <c r="R27" s="154"/>
    </row>
    <row r="28" ht="19.5" customHeight="1">
      <c r="A28" s="114"/>
      <c r="B28" s="115"/>
      <c r="C28" s="121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2"/>
      <c r="Q28" s="172"/>
      <c r="R28" s="174"/>
    </row>
    <row r="29" ht="19.5" customHeight="1">
      <c r="A29" s="114"/>
      <c r="B29" s="115"/>
      <c r="C29" s="141" t="s">
        <v>86</v>
      </c>
      <c r="D29" s="175"/>
      <c r="E29" s="176"/>
      <c r="F29" s="176"/>
      <c r="G29" s="176"/>
      <c r="H29" s="176"/>
      <c r="I29" s="176"/>
      <c r="J29" s="177"/>
      <c r="K29" s="173"/>
      <c r="L29" s="173"/>
      <c r="M29" s="173"/>
      <c r="N29" s="173"/>
      <c r="O29" s="173"/>
      <c r="P29" s="172"/>
      <c r="Q29" s="172"/>
      <c r="R29" s="174"/>
    </row>
    <row r="30" ht="19.5" customHeight="1">
      <c r="A30" s="145"/>
      <c r="B30" s="146" t="s">
        <v>103</v>
      </c>
      <c r="C30" s="147" t="str">
        <f t="array" ref="C30:C32">unique('Inversión'!A:A)</f>
        <v/>
      </c>
      <c r="D30" s="148">
        <v>36526.0</v>
      </c>
      <c r="E30" s="148">
        <v>36557.0</v>
      </c>
      <c r="F30" s="148">
        <v>36586.0</v>
      </c>
      <c r="G30" s="148">
        <v>36617.0</v>
      </c>
      <c r="H30" s="148">
        <v>36647.0</v>
      </c>
      <c r="I30" s="148">
        <v>36678.0</v>
      </c>
      <c r="J30" s="148">
        <v>36708.0</v>
      </c>
      <c r="K30" s="148">
        <v>36739.0</v>
      </c>
      <c r="L30" s="148">
        <v>36770.0</v>
      </c>
      <c r="M30" s="148">
        <v>36800.0</v>
      </c>
      <c r="N30" s="148">
        <v>36831.0</v>
      </c>
      <c r="O30" s="148">
        <v>36861.0</v>
      </c>
      <c r="P30" s="178" t="s">
        <v>43</v>
      </c>
      <c r="Q30" s="178" t="s">
        <v>49</v>
      </c>
      <c r="R30" s="150"/>
    </row>
    <row r="31" ht="19.5" customHeight="1">
      <c r="A31" s="114"/>
      <c r="B31" s="179">
        <f t="array" ref="B31:B40">iferror(match(C31:C40,'Inversión'!A:A,0),"")</f>
        <v>3</v>
      </c>
      <c r="C31" s="180" t="s">
        <v>87</v>
      </c>
      <c r="D31" s="181">
        <f t="shared" ref="D31:D32" si="7">IF(NOT(ISBLANK(B31)), INDIRECT("Inversión!D"&amp;B31&amp;":Q"&amp;B31),"")</f>
        <v>20000000</v>
      </c>
      <c r="E31" s="182">
        <v>0.0</v>
      </c>
      <c r="F31" s="182">
        <v>0.0</v>
      </c>
      <c r="G31" s="182">
        <v>0.0</v>
      </c>
      <c r="H31" s="182">
        <v>4.5E7</v>
      </c>
      <c r="I31" s="182">
        <v>0.0</v>
      </c>
      <c r="J31" s="182">
        <v>0.0</v>
      </c>
      <c r="K31" s="182">
        <v>0.0</v>
      </c>
      <c r="L31" s="182">
        <v>0.0</v>
      </c>
      <c r="M31" s="182">
        <v>0.0</v>
      </c>
      <c r="N31" s="182">
        <v>0.0</v>
      </c>
      <c r="O31" s="182">
        <v>0.0</v>
      </c>
      <c r="P31" s="183">
        <v>6.5E7</v>
      </c>
      <c r="Q31" s="183">
        <v>5416666.666666667</v>
      </c>
      <c r="R31" s="184"/>
    </row>
    <row r="32" ht="19.5" hidden="1" customHeight="1">
      <c r="A32" s="114"/>
      <c r="B32" s="185">
        <v>8.0</v>
      </c>
      <c r="C32" s="186" t="s">
        <v>61</v>
      </c>
      <c r="D32" s="182">
        <f t="shared" si="7"/>
        <v>0</v>
      </c>
      <c r="E32" s="182">
        <v>0.0</v>
      </c>
      <c r="F32" s="182">
        <v>0.0</v>
      </c>
      <c r="G32" s="182">
        <v>0.0</v>
      </c>
      <c r="H32" s="182">
        <v>0.0</v>
      </c>
      <c r="I32" s="182">
        <v>0.0</v>
      </c>
      <c r="J32" s="182">
        <v>0.0</v>
      </c>
      <c r="K32" s="182">
        <v>0.0</v>
      </c>
      <c r="L32" s="182">
        <v>0.0</v>
      </c>
      <c r="M32" s="182">
        <v>0.0</v>
      </c>
      <c r="N32" s="182">
        <v>0.0</v>
      </c>
      <c r="O32" s="182">
        <v>0.0</v>
      </c>
      <c r="P32" s="187">
        <v>0.0</v>
      </c>
      <c r="Q32" s="187">
        <v>0.0</v>
      </c>
      <c r="R32" s="184"/>
    </row>
    <row r="33" ht="1.5" customHeight="1">
      <c r="A33" s="114"/>
      <c r="B33" s="115"/>
      <c r="C33" s="188"/>
      <c r="D33" s="189" t="str">
        <f t="shared" ref="D33:D40" si="8">if(not(isblank(B33)), indirect("Income!D"&amp;B33&amp;":Q"&amp;B33),"")</f>
        <v/>
      </c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90"/>
      <c r="Q33" s="190"/>
      <c r="R33" s="154"/>
    </row>
    <row r="34" ht="1.5" customHeight="1">
      <c r="A34" s="114"/>
      <c r="B34" s="115"/>
      <c r="C34" s="188"/>
      <c r="D34" s="189" t="str">
        <f t="shared" si="8"/>
        <v/>
      </c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90"/>
      <c r="Q34" s="190"/>
      <c r="R34" s="154"/>
    </row>
    <row r="35" ht="1.5" customHeight="1">
      <c r="A35" s="114"/>
      <c r="B35" s="115"/>
      <c r="C35" s="188"/>
      <c r="D35" s="189" t="str">
        <f t="shared" si="8"/>
        <v/>
      </c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90"/>
      <c r="Q35" s="190"/>
      <c r="R35" s="154"/>
    </row>
    <row r="36" ht="1.5" customHeight="1">
      <c r="A36" s="114"/>
      <c r="B36" s="115"/>
      <c r="C36" s="188"/>
      <c r="D36" s="189" t="str">
        <f t="shared" si="8"/>
        <v/>
      </c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90"/>
      <c r="Q36" s="190"/>
      <c r="R36" s="154"/>
    </row>
    <row r="37" ht="1.5" customHeight="1">
      <c r="A37" s="114"/>
      <c r="B37" s="115"/>
      <c r="C37" s="188"/>
      <c r="D37" s="189" t="str">
        <f t="shared" si="8"/>
        <v/>
      </c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90"/>
      <c r="Q37" s="190"/>
      <c r="R37" s="154"/>
    </row>
    <row r="38" ht="1.5" customHeight="1">
      <c r="A38" s="114"/>
      <c r="B38" s="115"/>
      <c r="C38" s="188"/>
      <c r="D38" s="189" t="str">
        <f t="shared" si="8"/>
        <v/>
      </c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90"/>
      <c r="Q38" s="190"/>
      <c r="R38" s="154"/>
    </row>
    <row r="39" ht="1.5" customHeight="1">
      <c r="A39" s="114"/>
      <c r="B39" s="115"/>
      <c r="C39" s="188"/>
      <c r="D39" s="189" t="str">
        <f t="shared" si="8"/>
        <v/>
      </c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90"/>
      <c r="Q39" s="190"/>
      <c r="R39" s="154"/>
    </row>
    <row r="40" ht="1.5" customHeight="1">
      <c r="A40" s="114"/>
      <c r="B40" s="115"/>
      <c r="C40" s="188"/>
      <c r="D40" s="189" t="str">
        <f t="shared" si="8"/>
        <v/>
      </c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90"/>
      <c r="Q40" s="190"/>
      <c r="R40" s="174"/>
    </row>
    <row r="41" ht="19.5" customHeight="1">
      <c r="A41" s="114"/>
      <c r="B41" s="115"/>
      <c r="C41" s="142"/>
      <c r="D41" s="191"/>
      <c r="E41" s="192"/>
      <c r="F41" s="192"/>
      <c r="G41" s="193"/>
      <c r="H41" s="193"/>
      <c r="I41" s="193"/>
      <c r="J41" s="193"/>
      <c r="K41" s="193"/>
      <c r="L41" s="193"/>
      <c r="M41" s="193"/>
      <c r="N41" s="193"/>
      <c r="O41" s="193"/>
      <c r="P41" s="190"/>
      <c r="Q41" s="190"/>
      <c r="R41" s="174"/>
    </row>
    <row r="42" ht="19.5" customHeight="1">
      <c r="A42" s="114"/>
      <c r="B42" s="115"/>
      <c r="C42" s="141" t="s">
        <v>48</v>
      </c>
      <c r="D42" s="175"/>
      <c r="E42" s="177"/>
      <c r="F42" s="177"/>
      <c r="G42" s="194"/>
      <c r="H42" s="194"/>
      <c r="I42" s="194"/>
      <c r="J42" s="194"/>
      <c r="K42" s="194"/>
      <c r="L42" s="194"/>
      <c r="M42" s="194"/>
      <c r="N42" s="194"/>
      <c r="O42" s="194"/>
      <c r="P42" s="190"/>
      <c r="Q42" s="190"/>
      <c r="R42" s="174"/>
    </row>
    <row r="43" ht="19.5" customHeight="1">
      <c r="A43" s="145"/>
      <c r="B43" s="146" t="s">
        <v>103</v>
      </c>
      <c r="C43" s="195" t="str">
        <f t="array" ref="C43:C53">unique(Gastos!A:A)</f>
        <v/>
      </c>
      <c r="D43" s="148">
        <v>36526.0</v>
      </c>
      <c r="E43" s="148">
        <v>36557.0</v>
      </c>
      <c r="F43" s="148">
        <v>36586.0</v>
      </c>
      <c r="G43" s="148">
        <v>36617.0</v>
      </c>
      <c r="H43" s="148">
        <v>36647.0</v>
      </c>
      <c r="I43" s="148">
        <v>36678.0</v>
      </c>
      <c r="J43" s="148">
        <v>36708.0</v>
      </c>
      <c r="K43" s="148">
        <v>36739.0</v>
      </c>
      <c r="L43" s="148">
        <v>36770.0</v>
      </c>
      <c r="M43" s="148">
        <v>36800.0</v>
      </c>
      <c r="N43" s="148">
        <v>36831.0</v>
      </c>
      <c r="O43" s="148">
        <v>36861.0</v>
      </c>
      <c r="P43" s="178" t="s">
        <v>43</v>
      </c>
      <c r="Q43" s="178" t="s">
        <v>49</v>
      </c>
      <c r="R43" s="150"/>
    </row>
    <row r="44" ht="19.5" customHeight="1">
      <c r="A44" s="196"/>
      <c r="B44" s="179">
        <f t="array" ref="B44:B58">iferror(match(C44:C58,Gastos!A:A,0),"")</f>
        <v>3</v>
      </c>
      <c r="C44" s="197" t="s">
        <v>3</v>
      </c>
      <c r="D44" s="198">
        <f t="shared" ref="D44:D58" si="9">if(not(isblank(B44)), indirect("Gastos!D"&amp;B44&amp;":Q"&amp;B44),"")</f>
        <v>1394444</v>
      </c>
      <c r="E44" s="198">
        <v>1680000.0</v>
      </c>
      <c r="F44" s="198">
        <v>480000.0</v>
      </c>
      <c r="G44" s="198">
        <v>2160000.0</v>
      </c>
      <c r="H44" s="198">
        <v>2684444.0</v>
      </c>
      <c r="I44" s="198">
        <v>2354444.0</v>
      </c>
      <c r="J44" s="198">
        <v>2354444.0</v>
      </c>
      <c r="K44" s="198">
        <v>2684444.0</v>
      </c>
      <c r="L44" s="198">
        <v>2354445.0</v>
      </c>
      <c r="M44" s="198">
        <v>2354445.0</v>
      </c>
      <c r="N44" s="198">
        <v>2684445.0</v>
      </c>
      <c r="O44" s="198">
        <v>524445.0</v>
      </c>
      <c r="P44" s="199">
        <v>2.371E7</v>
      </c>
      <c r="Q44" s="199">
        <v>1975833.3333333333</v>
      </c>
      <c r="R44" s="200"/>
    </row>
    <row r="45" ht="19.5" customHeight="1">
      <c r="A45" s="114"/>
      <c r="B45" s="185">
        <v>11.0</v>
      </c>
      <c r="C45" s="201" t="s">
        <v>5</v>
      </c>
      <c r="D45" s="198">
        <f t="shared" si="9"/>
        <v>145000</v>
      </c>
      <c r="E45" s="199">
        <v>40000.0</v>
      </c>
      <c r="F45" s="199">
        <v>40000.0</v>
      </c>
      <c r="G45" s="199">
        <v>40000.0</v>
      </c>
      <c r="H45" s="199">
        <v>40000.0</v>
      </c>
      <c r="I45" s="199">
        <v>40000.0</v>
      </c>
      <c r="J45" s="199">
        <v>40000.0</v>
      </c>
      <c r="K45" s="199">
        <v>40000.0</v>
      </c>
      <c r="L45" s="199">
        <v>40000.0</v>
      </c>
      <c r="M45" s="199">
        <v>40000.0</v>
      </c>
      <c r="N45" s="199">
        <v>81000.0</v>
      </c>
      <c r="O45" s="199">
        <v>81000.0</v>
      </c>
      <c r="P45" s="199">
        <v>667000.0</v>
      </c>
      <c r="Q45" s="199">
        <v>55583.333333333336</v>
      </c>
      <c r="R45" s="202"/>
    </row>
    <row r="46" ht="19.5" customHeight="1">
      <c r="A46" s="114"/>
      <c r="B46" s="185">
        <v>18.0</v>
      </c>
      <c r="C46" s="201" t="s">
        <v>56</v>
      </c>
      <c r="D46" s="198">
        <f t="shared" si="9"/>
        <v>200000</v>
      </c>
      <c r="E46" s="199">
        <v>0.0</v>
      </c>
      <c r="F46" s="199">
        <v>0.0</v>
      </c>
      <c r="G46" s="199">
        <v>0.0</v>
      </c>
      <c r="H46" s="199">
        <v>0.0</v>
      </c>
      <c r="I46" s="199">
        <v>0.0</v>
      </c>
      <c r="J46" s="199">
        <v>0.0</v>
      </c>
      <c r="K46" s="199">
        <v>0.0</v>
      </c>
      <c r="L46" s="199">
        <v>0.0</v>
      </c>
      <c r="M46" s="199">
        <v>0.0</v>
      </c>
      <c r="N46" s="199">
        <v>0.0</v>
      </c>
      <c r="O46" s="199">
        <v>0.0</v>
      </c>
      <c r="P46" s="199">
        <v>200000.0</v>
      </c>
      <c r="Q46" s="199">
        <v>16666.666666666668</v>
      </c>
      <c r="R46" s="202"/>
    </row>
    <row r="47" ht="19.5" customHeight="1">
      <c r="A47" s="114"/>
      <c r="B47" s="185">
        <v>21.0</v>
      </c>
      <c r="C47" s="201" t="s">
        <v>9</v>
      </c>
      <c r="D47" s="198">
        <f t="shared" si="9"/>
        <v>500000</v>
      </c>
      <c r="E47" s="199">
        <v>500000.0</v>
      </c>
      <c r="F47" s="199">
        <v>500000.0</v>
      </c>
      <c r="G47" s="199">
        <v>500000.0</v>
      </c>
      <c r="H47" s="199">
        <v>500000.0</v>
      </c>
      <c r="I47" s="199">
        <v>500000.0</v>
      </c>
      <c r="J47" s="199">
        <v>500000.0</v>
      </c>
      <c r="K47" s="199">
        <v>500000.0</v>
      </c>
      <c r="L47" s="199">
        <v>500000.0</v>
      </c>
      <c r="M47" s="199">
        <v>500000.0</v>
      </c>
      <c r="N47" s="199">
        <v>500000.0</v>
      </c>
      <c r="O47" s="199">
        <v>500000.0</v>
      </c>
      <c r="P47" s="199">
        <v>6000000.0</v>
      </c>
      <c r="Q47" s="199">
        <v>500000.0</v>
      </c>
      <c r="R47" s="202"/>
    </row>
    <row r="48" ht="19.5" customHeight="1">
      <c r="A48" s="114"/>
      <c r="B48" s="185">
        <v>24.0</v>
      </c>
      <c r="C48" s="201" t="s">
        <v>11</v>
      </c>
      <c r="D48" s="198">
        <f t="shared" si="9"/>
        <v>1400000</v>
      </c>
      <c r="E48" s="199">
        <v>400000.0</v>
      </c>
      <c r="F48" s="199">
        <v>400000.0</v>
      </c>
      <c r="G48" s="199">
        <v>400000.0</v>
      </c>
      <c r="H48" s="199">
        <v>400000.0</v>
      </c>
      <c r="I48" s="199">
        <v>400000.0</v>
      </c>
      <c r="J48" s="199">
        <v>400000.0</v>
      </c>
      <c r="K48" s="199">
        <v>400000.0</v>
      </c>
      <c r="L48" s="199">
        <v>400000.0</v>
      </c>
      <c r="M48" s="199">
        <v>400000.0</v>
      </c>
      <c r="N48" s="199">
        <v>400000.0</v>
      </c>
      <c r="O48" s="199">
        <v>400000.0</v>
      </c>
      <c r="P48" s="199">
        <v>5800000.0</v>
      </c>
      <c r="Q48" s="199">
        <v>483333.3333333333</v>
      </c>
      <c r="R48" s="202"/>
    </row>
    <row r="49" ht="19.5" customHeight="1">
      <c r="A49" s="114"/>
      <c r="B49" s="185">
        <v>28.0</v>
      </c>
      <c r="C49" s="201" t="s">
        <v>13</v>
      </c>
      <c r="D49" s="198">
        <f t="shared" si="9"/>
        <v>270000</v>
      </c>
      <c r="E49" s="199">
        <v>270000.0</v>
      </c>
      <c r="F49" s="199">
        <v>270000.0</v>
      </c>
      <c r="G49" s="199">
        <v>270000.0</v>
      </c>
      <c r="H49" s="199">
        <v>270000.0</v>
      </c>
      <c r="I49" s="199">
        <v>270000.0</v>
      </c>
      <c r="J49" s="199">
        <v>270000.0</v>
      </c>
      <c r="K49" s="199">
        <v>270000.0</v>
      </c>
      <c r="L49" s="199">
        <v>270000.0</v>
      </c>
      <c r="M49" s="199">
        <v>270000.0</v>
      </c>
      <c r="N49" s="199">
        <v>270000.0</v>
      </c>
      <c r="O49" s="199">
        <v>270000.0</v>
      </c>
      <c r="P49" s="199">
        <v>3240000.0</v>
      </c>
      <c r="Q49" s="199">
        <v>270000.0</v>
      </c>
      <c r="R49" s="202"/>
    </row>
    <row r="50" ht="19.5" customHeight="1">
      <c r="A50" s="114"/>
      <c r="B50" s="185">
        <v>32.0</v>
      </c>
      <c r="C50" s="201" t="s">
        <v>61</v>
      </c>
      <c r="D50" s="198">
        <f t="shared" si="9"/>
        <v>1348850</v>
      </c>
      <c r="E50" s="199">
        <v>0.0</v>
      </c>
      <c r="F50" s="199">
        <v>0.0</v>
      </c>
      <c r="G50" s="199">
        <v>0.0</v>
      </c>
      <c r="H50" s="199">
        <v>0.0</v>
      </c>
      <c r="I50" s="199">
        <v>0.0</v>
      </c>
      <c r="J50" s="199">
        <v>0.0</v>
      </c>
      <c r="K50" s="199">
        <v>0.0</v>
      </c>
      <c r="L50" s="199">
        <v>0.0</v>
      </c>
      <c r="M50" s="199">
        <v>0.0</v>
      </c>
      <c r="N50" s="199">
        <v>0.0</v>
      </c>
      <c r="O50" s="199">
        <v>0.0</v>
      </c>
      <c r="P50" s="199">
        <v>1348850.0</v>
      </c>
      <c r="Q50" s="199">
        <v>112404.16666666667</v>
      </c>
      <c r="R50" s="202"/>
    </row>
    <row r="51" ht="19.5" customHeight="1">
      <c r="A51" s="114"/>
      <c r="B51" s="185">
        <v>35.0</v>
      </c>
      <c r="C51" s="201" t="s">
        <v>17</v>
      </c>
      <c r="D51" s="198">
        <f t="shared" si="9"/>
        <v>1666666</v>
      </c>
      <c r="E51" s="199">
        <v>1666666.0</v>
      </c>
      <c r="F51" s="199">
        <v>1666666.0</v>
      </c>
      <c r="G51" s="199">
        <v>1666666.0</v>
      </c>
      <c r="H51" s="199">
        <v>1666667.0</v>
      </c>
      <c r="I51" s="199">
        <v>1666667.0</v>
      </c>
      <c r="J51" s="199">
        <v>1666667.0</v>
      </c>
      <c r="K51" s="199">
        <v>1666667.0</v>
      </c>
      <c r="L51" s="199">
        <v>1666667.0</v>
      </c>
      <c r="M51" s="199">
        <v>1666667.0</v>
      </c>
      <c r="N51" s="199">
        <v>1666667.0</v>
      </c>
      <c r="O51" s="199">
        <v>1666667.0</v>
      </c>
      <c r="P51" s="199">
        <v>2.0E7</v>
      </c>
      <c r="Q51" s="199">
        <v>1666666.6666666667</v>
      </c>
      <c r="R51" s="202"/>
    </row>
    <row r="52" ht="19.5" hidden="1" customHeight="1">
      <c r="A52" s="114"/>
      <c r="B52" s="185">
        <v>39.0</v>
      </c>
      <c r="C52" s="201" t="s">
        <v>64</v>
      </c>
      <c r="D52" s="198">
        <f t="shared" si="9"/>
        <v>0</v>
      </c>
      <c r="E52" s="199">
        <v>0.0</v>
      </c>
      <c r="F52" s="199">
        <v>0.0</v>
      </c>
      <c r="G52" s="199">
        <v>0.0</v>
      </c>
      <c r="H52" s="199">
        <v>0.0</v>
      </c>
      <c r="I52" s="199">
        <v>0.0</v>
      </c>
      <c r="J52" s="199">
        <v>0.0</v>
      </c>
      <c r="K52" s="199">
        <v>0.0</v>
      </c>
      <c r="L52" s="199">
        <v>0.0</v>
      </c>
      <c r="M52" s="199">
        <v>0.0</v>
      </c>
      <c r="N52" s="199">
        <v>0.0</v>
      </c>
      <c r="O52" s="199">
        <v>0.0</v>
      </c>
      <c r="P52" s="199">
        <v>0.0</v>
      </c>
      <c r="Q52" s="199">
        <v>0.0</v>
      </c>
      <c r="R52" s="202"/>
    </row>
    <row r="53" ht="19.5" hidden="1" customHeight="1">
      <c r="A53" s="114"/>
      <c r="B53" s="185">
        <v>46.0</v>
      </c>
      <c r="C53" s="201" t="s">
        <v>70</v>
      </c>
      <c r="D53" s="198">
        <f t="shared" si="9"/>
        <v>0</v>
      </c>
      <c r="E53" s="199">
        <v>0.0</v>
      </c>
      <c r="F53" s="199">
        <v>0.0</v>
      </c>
      <c r="G53" s="199">
        <v>0.0</v>
      </c>
      <c r="H53" s="199">
        <v>0.0</v>
      </c>
      <c r="I53" s="199">
        <v>0.0</v>
      </c>
      <c r="J53" s="199">
        <v>0.0</v>
      </c>
      <c r="K53" s="199">
        <v>0.0</v>
      </c>
      <c r="L53" s="199">
        <v>0.0</v>
      </c>
      <c r="M53" s="199">
        <v>0.0</v>
      </c>
      <c r="N53" s="199">
        <v>0.0</v>
      </c>
      <c r="O53" s="199">
        <v>0.0</v>
      </c>
      <c r="P53" s="199">
        <v>0.0</v>
      </c>
      <c r="Q53" s="199">
        <v>0.0</v>
      </c>
      <c r="R53" s="202"/>
    </row>
    <row r="54" ht="19.5" customHeight="1">
      <c r="A54" s="114"/>
      <c r="B54" s="185"/>
      <c r="C54" s="201"/>
      <c r="D54" s="198" t="str">
        <f t="shared" si="9"/>
        <v/>
      </c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202"/>
    </row>
    <row r="55" ht="19.5" customHeight="1">
      <c r="A55" s="114"/>
      <c r="B55" s="185"/>
      <c r="C55" s="201"/>
      <c r="D55" s="198" t="str">
        <f t="shared" si="9"/>
        <v/>
      </c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202"/>
    </row>
    <row r="56" ht="19.5" customHeight="1">
      <c r="A56" s="114"/>
      <c r="B56" s="185"/>
      <c r="C56" s="201"/>
      <c r="D56" s="198" t="str">
        <f t="shared" si="9"/>
        <v/>
      </c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202"/>
    </row>
    <row r="57" ht="19.5" customHeight="1">
      <c r="A57" s="114"/>
      <c r="B57" s="185"/>
      <c r="C57" s="203"/>
      <c r="D57" s="198" t="str">
        <f t="shared" si="9"/>
        <v/>
      </c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204"/>
      <c r="Q57" s="204"/>
      <c r="R57" s="202"/>
    </row>
    <row r="58" ht="19.5" customHeight="1">
      <c r="A58" s="114"/>
      <c r="B58" s="185"/>
      <c r="C58" s="201"/>
      <c r="D58" s="198" t="str">
        <f t="shared" si="9"/>
        <v/>
      </c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204"/>
      <c r="Q58" s="204"/>
      <c r="R58" s="202"/>
    </row>
    <row r="59" ht="19.5" customHeight="1">
      <c r="A59" s="114"/>
      <c r="B59" s="185"/>
      <c r="C59" s="205"/>
      <c r="D59" s="206" t="str">
        <f t="shared" ref="D59:D80" si="10">if(not(isblank(B59)), indirect("Expenses!D"&amp;B59&amp;":Q"&amp;B59),"")</f>
        <v/>
      </c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7"/>
      <c r="Q59" s="207"/>
      <c r="R59" s="208"/>
    </row>
    <row r="60" ht="19.5" customHeight="1">
      <c r="A60" s="114"/>
      <c r="B60" s="115"/>
      <c r="C60" s="121"/>
      <c r="D60" s="209" t="str">
        <f t="shared" si="10"/>
        <v/>
      </c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1"/>
      <c r="Q60" s="211"/>
      <c r="R60" s="212"/>
    </row>
    <row r="61" ht="19.5" customHeight="1">
      <c r="A61" s="114"/>
      <c r="B61" s="115"/>
      <c r="C61" s="90"/>
      <c r="D61" s="213" t="str">
        <f t="shared" si="10"/>
        <v/>
      </c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5"/>
      <c r="Q61" s="215"/>
      <c r="R61" s="121"/>
    </row>
    <row r="62" ht="19.5" customHeight="1">
      <c r="A62" s="114"/>
      <c r="B62" s="115"/>
      <c r="C62" s="90"/>
      <c r="D62" s="213" t="str">
        <f t="shared" si="10"/>
        <v/>
      </c>
      <c r="E62" s="216"/>
      <c r="F62" s="217"/>
      <c r="G62" s="217"/>
      <c r="H62" s="218"/>
      <c r="I62" s="217"/>
      <c r="J62" s="217"/>
      <c r="K62" s="217"/>
      <c r="L62" s="217"/>
      <c r="M62" s="217"/>
      <c r="N62" s="217"/>
      <c r="O62" s="217"/>
      <c r="P62" s="219"/>
      <c r="Q62" s="219"/>
      <c r="R62" s="121"/>
    </row>
    <row r="63" ht="19.5" customHeight="1">
      <c r="A63" s="114"/>
      <c r="B63" s="115"/>
      <c r="C63" s="90"/>
      <c r="D63" s="213" t="str">
        <f t="shared" si="10"/>
        <v/>
      </c>
      <c r="E63" s="216"/>
      <c r="F63" s="217"/>
      <c r="G63" s="217"/>
      <c r="H63" s="218"/>
      <c r="I63" s="217"/>
      <c r="J63" s="217"/>
      <c r="K63" s="217"/>
      <c r="L63" s="217"/>
      <c r="M63" s="217"/>
      <c r="N63" s="217"/>
      <c r="O63" s="217"/>
      <c r="P63" s="219"/>
      <c r="Q63" s="219"/>
      <c r="R63" s="121"/>
    </row>
    <row r="64" ht="19.5" customHeight="1">
      <c r="A64" s="114"/>
      <c r="B64" s="115"/>
      <c r="C64" s="90"/>
      <c r="D64" s="213" t="str">
        <f t="shared" si="10"/>
        <v/>
      </c>
      <c r="E64" s="216"/>
      <c r="F64" s="217"/>
      <c r="G64" s="217"/>
      <c r="H64" s="218"/>
      <c r="I64" s="217"/>
      <c r="J64" s="217"/>
      <c r="K64" s="217"/>
      <c r="L64" s="217"/>
      <c r="M64" s="217"/>
      <c r="N64" s="217"/>
      <c r="O64" s="217"/>
      <c r="P64" s="219"/>
      <c r="Q64" s="219"/>
      <c r="R64" s="121"/>
    </row>
    <row r="65" ht="19.5" customHeight="1">
      <c r="A65" s="114"/>
      <c r="B65" s="115"/>
      <c r="C65" s="90"/>
      <c r="D65" s="213" t="str">
        <f t="shared" si="10"/>
        <v/>
      </c>
      <c r="E65" s="216"/>
      <c r="F65" s="217"/>
      <c r="G65" s="217"/>
      <c r="H65" s="218"/>
      <c r="I65" s="217"/>
      <c r="J65" s="217"/>
      <c r="K65" s="217"/>
      <c r="L65" s="217"/>
      <c r="M65" s="217"/>
      <c r="N65" s="217"/>
      <c r="O65" s="217"/>
      <c r="P65" s="219"/>
      <c r="Q65" s="219"/>
      <c r="R65" s="121"/>
    </row>
    <row r="66" ht="19.5" customHeight="1">
      <c r="A66" s="114"/>
      <c r="B66" s="115"/>
      <c r="C66" s="121"/>
      <c r="D66" s="213" t="str">
        <f t="shared" si="10"/>
        <v/>
      </c>
      <c r="E66" s="217"/>
      <c r="F66" s="217"/>
      <c r="G66" s="217"/>
      <c r="H66" s="218"/>
      <c r="I66" s="217"/>
      <c r="J66" s="217"/>
      <c r="K66" s="217"/>
      <c r="L66" s="217"/>
      <c r="M66" s="217"/>
      <c r="N66" s="217"/>
      <c r="O66" s="217"/>
      <c r="P66" s="219"/>
      <c r="Q66" s="219"/>
      <c r="R66" s="121"/>
    </row>
    <row r="67" ht="19.5" customHeight="1">
      <c r="A67" s="114"/>
      <c r="B67" s="115"/>
      <c r="C67" s="121"/>
      <c r="D67" s="213" t="str">
        <f t="shared" si="10"/>
        <v/>
      </c>
      <c r="E67" s="217"/>
      <c r="F67" s="217"/>
      <c r="G67" s="217"/>
      <c r="H67" s="218"/>
      <c r="I67" s="217"/>
      <c r="J67" s="217"/>
      <c r="K67" s="217"/>
      <c r="L67" s="217"/>
      <c r="M67" s="217"/>
      <c r="N67" s="217"/>
      <c r="O67" s="217"/>
      <c r="P67" s="219"/>
      <c r="Q67" s="219"/>
      <c r="R67" s="121"/>
    </row>
    <row r="68" ht="19.5" customHeight="1">
      <c r="A68" s="114"/>
      <c r="B68" s="115"/>
      <c r="C68" s="121"/>
      <c r="D68" s="213" t="str">
        <f t="shared" si="10"/>
        <v/>
      </c>
      <c r="E68" s="217"/>
      <c r="F68" s="217"/>
      <c r="G68" s="217"/>
      <c r="H68" s="218"/>
      <c r="I68" s="217"/>
      <c r="J68" s="217"/>
      <c r="K68" s="217"/>
      <c r="L68" s="217"/>
      <c r="M68" s="217"/>
      <c r="N68" s="217"/>
      <c r="O68" s="217"/>
      <c r="P68" s="219"/>
      <c r="Q68" s="219"/>
      <c r="R68" s="121"/>
    </row>
    <row r="69" ht="19.5" customHeight="1">
      <c r="A69" s="114"/>
      <c r="B69" s="115"/>
      <c r="C69" s="121"/>
      <c r="D69" s="213" t="str">
        <f t="shared" si="10"/>
        <v/>
      </c>
      <c r="E69" s="217"/>
      <c r="F69" s="217"/>
      <c r="G69" s="217"/>
      <c r="H69" s="218"/>
      <c r="I69" s="217"/>
      <c r="J69" s="217"/>
      <c r="K69" s="217"/>
      <c r="L69" s="217"/>
      <c r="M69" s="217"/>
      <c r="N69" s="217"/>
      <c r="O69" s="217"/>
      <c r="P69" s="219"/>
      <c r="Q69" s="219"/>
      <c r="R69" s="121"/>
    </row>
    <row r="70" ht="19.5" customHeight="1">
      <c r="A70" s="114"/>
      <c r="B70" s="115"/>
      <c r="C70" s="121"/>
      <c r="D70" s="213" t="str">
        <f t="shared" si="10"/>
        <v/>
      </c>
      <c r="E70" s="217"/>
      <c r="F70" s="217"/>
      <c r="G70" s="217"/>
      <c r="H70" s="218"/>
      <c r="I70" s="217"/>
      <c r="J70" s="217"/>
      <c r="K70" s="217"/>
      <c r="L70" s="217"/>
      <c r="M70" s="217"/>
      <c r="N70" s="217"/>
      <c r="O70" s="217"/>
      <c r="P70" s="219"/>
      <c r="Q70" s="219"/>
      <c r="R70" s="121"/>
    </row>
    <row r="71" ht="19.5" customHeight="1">
      <c r="A71" s="114"/>
      <c r="B71" s="115"/>
      <c r="C71" s="121"/>
      <c r="D71" s="213" t="str">
        <f t="shared" si="10"/>
        <v/>
      </c>
      <c r="E71" s="217"/>
      <c r="F71" s="217"/>
      <c r="G71" s="217"/>
      <c r="H71" s="218"/>
      <c r="I71" s="217"/>
      <c r="J71" s="217"/>
      <c r="K71" s="217"/>
      <c r="L71" s="217"/>
      <c r="M71" s="217"/>
      <c r="N71" s="217"/>
      <c r="O71" s="217"/>
      <c r="P71" s="219"/>
      <c r="Q71" s="219"/>
      <c r="R71" s="121"/>
    </row>
    <row r="72" ht="19.5" customHeight="1">
      <c r="A72" s="114"/>
      <c r="B72" s="115"/>
      <c r="C72" s="121"/>
      <c r="D72" s="213" t="str">
        <f t="shared" si="10"/>
        <v/>
      </c>
      <c r="E72" s="217"/>
      <c r="F72" s="217"/>
      <c r="G72" s="217"/>
      <c r="H72" s="218"/>
      <c r="I72" s="217"/>
      <c r="J72" s="217"/>
      <c r="K72" s="217"/>
      <c r="L72" s="217"/>
      <c r="M72" s="217"/>
      <c r="N72" s="217"/>
      <c r="O72" s="217"/>
      <c r="P72" s="219"/>
      <c r="Q72" s="219"/>
      <c r="R72" s="121"/>
    </row>
    <row r="73" ht="19.5" customHeight="1">
      <c r="A73" s="114"/>
      <c r="B73" s="115"/>
      <c r="C73" s="121"/>
      <c r="D73" s="213" t="str">
        <f t="shared" si="10"/>
        <v/>
      </c>
      <c r="E73" s="217"/>
      <c r="F73" s="217"/>
      <c r="G73" s="217"/>
      <c r="H73" s="218"/>
      <c r="I73" s="217"/>
      <c r="J73" s="217"/>
      <c r="K73" s="217"/>
      <c r="L73" s="217"/>
      <c r="M73" s="217"/>
      <c r="N73" s="217"/>
      <c r="O73" s="217"/>
      <c r="P73" s="219"/>
      <c r="Q73" s="219"/>
      <c r="R73" s="121"/>
    </row>
    <row r="74" ht="19.5" customHeight="1">
      <c r="A74" s="114"/>
      <c r="B74" s="115"/>
      <c r="C74" s="121"/>
      <c r="D74" s="213" t="str">
        <f t="shared" si="10"/>
        <v/>
      </c>
      <c r="E74" s="217"/>
      <c r="F74" s="217"/>
      <c r="G74" s="217"/>
      <c r="H74" s="218"/>
      <c r="I74" s="217"/>
      <c r="J74" s="217"/>
      <c r="K74" s="217"/>
      <c r="L74" s="217"/>
      <c r="M74" s="217"/>
      <c r="N74" s="217"/>
      <c r="O74" s="217"/>
      <c r="P74" s="219"/>
      <c r="Q74" s="219"/>
      <c r="R74" s="121"/>
    </row>
    <row r="75" ht="19.5" customHeight="1">
      <c r="A75" s="114"/>
      <c r="B75" s="115"/>
      <c r="C75" s="121"/>
      <c r="D75" s="213" t="str">
        <f t="shared" si="10"/>
        <v/>
      </c>
      <c r="E75" s="217"/>
      <c r="F75" s="217"/>
      <c r="G75" s="217"/>
      <c r="H75" s="218"/>
      <c r="I75" s="217"/>
      <c r="J75" s="217"/>
      <c r="K75" s="217"/>
      <c r="L75" s="217"/>
      <c r="M75" s="217"/>
      <c r="N75" s="217"/>
      <c r="O75" s="217"/>
      <c r="P75" s="219"/>
      <c r="Q75" s="219"/>
      <c r="R75" s="121"/>
    </row>
    <row r="76" ht="19.5" customHeight="1">
      <c r="A76" s="114"/>
      <c r="B76" s="115"/>
      <c r="C76" s="121"/>
      <c r="D76" s="213" t="str">
        <f t="shared" si="10"/>
        <v/>
      </c>
      <c r="E76" s="217"/>
      <c r="F76" s="217"/>
      <c r="G76" s="217"/>
      <c r="H76" s="218"/>
      <c r="I76" s="217"/>
      <c r="J76" s="217"/>
      <c r="K76" s="217"/>
      <c r="L76" s="217"/>
      <c r="M76" s="217"/>
      <c r="N76" s="217"/>
      <c r="O76" s="217"/>
      <c r="P76" s="219"/>
      <c r="Q76" s="219"/>
      <c r="R76" s="121"/>
    </row>
    <row r="77" ht="19.5" customHeight="1">
      <c r="A77" s="114"/>
      <c r="B77" s="115"/>
      <c r="C77" s="121"/>
      <c r="D77" s="213" t="str">
        <f t="shared" si="10"/>
        <v/>
      </c>
      <c r="E77" s="217"/>
      <c r="F77" s="217"/>
      <c r="G77" s="217"/>
      <c r="H77" s="218"/>
      <c r="I77" s="217"/>
      <c r="J77" s="217"/>
      <c r="K77" s="217"/>
      <c r="L77" s="217"/>
      <c r="M77" s="217"/>
      <c r="N77" s="217"/>
      <c r="O77" s="217"/>
      <c r="P77" s="219"/>
      <c r="Q77" s="219"/>
      <c r="R77" s="121"/>
    </row>
    <row r="78" ht="19.5" customHeight="1">
      <c r="A78" s="114"/>
      <c r="B78" s="115"/>
      <c r="C78" s="121"/>
      <c r="D78" s="213" t="str">
        <f t="shared" si="10"/>
        <v/>
      </c>
      <c r="E78" s="217"/>
      <c r="F78" s="217"/>
      <c r="G78" s="217"/>
      <c r="H78" s="218"/>
      <c r="I78" s="217"/>
      <c r="J78" s="217"/>
      <c r="K78" s="217"/>
      <c r="L78" s="217"/>
      <c r="M78" s="217"/>
      <c r="N78" s="217"/>
      <c r="O78" s="217"/>
      <c r="P78" s="219"/>
      <c r="Q78" s="219"/>
      <c r="R78" s="121"/>
    </row>
    <row r="79" ht="19.5" customHeight="1">
      <c r="A79" s="114"/>
      <c r="B79" s="115"/>
      <c r="C79" s="121"/>
      <c r="D79" s="213" t="str">
        <f t="shared" si="10"/>
        <v/>
      </c>
      <c r="E79" s="217"/>
      <c r="F79" s="217"/>
      <c r="G79" s="217"/>
      <c r="H79" s="218"/>
      <c r="I79" s="217"/>
      <c r="J79" s="217"/>
      <c r="K79" s="217"/>
      <c r="L79" s="217"/>
      <c r="M79" s="217"/>
      <c r="N79" s="217"/>
      <c r="O79" s="217"/>
      <c r="P79" s="219"/>
      <c r="Q79" s="219"/>
      <c r="R79" s="121"/>
    </row>
    <row r="80" ht="19.5" customHeight="1">
      <c r="A80" s="114"/>
      <c r="B80" s="115"/>
      <c r="C80" s="121"/>
      <c r="D80" s="213" t="str">
        <f t="shared" si="10"/>
        <v/>
      </c>
      <c r="E80" s="217"/>
      <c r="F80" s="217"/>
      <c r="G80" s="217"/>
      <c r="H80" s="218"/>
      <c r="I80" s="217"/>
      <c r="J80" s="217"/>
      <c r="K80" s="217"/>
      <c r="L80" s="217"/>
      <c r="M80" s="217"/>
      <c r="N80" s="217"/>
      <c r="O80" s="217"/>
      <c r="P80" s="219"/>
      <c r="Q80" s="219"/>
      <c r="R80" s="121"/>
    </row>
  </sheetData>
  <mergeCells count="1">
    <mergeCell ref="K4:M4"/>
  </mergeCells>
  <conditionalFormatting sqref="D25:O26">
    <cfRule type="cellIs" dxfId="0" priority="1" operator="lessThan">
      <formula>0</formula>
    </cfRule>
  </conditionalFormatting>
  <drawing r:id="rId2"/>
  <legacyDrawing r:id="rId3"/>
</worksheet>
</file>